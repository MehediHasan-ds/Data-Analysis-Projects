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trlProps/ctrlProp2.xml" ContentType="application/vnd.ms-excel.controlproperties+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3.xml" ContentType="application/vnd.openxmlformats-officedocument.drawing+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4.xml" ContentType="application/vnd.openxmlformats-officedocument.drawingml.chartshapes+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E:\Data Analytics And Power BI\Assignemnts &amp; Projects\projects\"/>
    </mc:Choice>
  </mc:AlternateContent>
  <xr:revisionPtr revIDLastSave="0" documentId="13_ncr:1_{AF2789F9-FE93-48CC-A4B7-A18004362457}" xr6:coauthVersionLast="47" xr6:coauthVersionMax="47" xr10:uidLastSave="{00000000-0000-0000-0000-000000000000}"/>
  <bookViews>
    <workbookView xWindow="-108" yWindow="-108" windowWidth="23256" windowHeight="12456" xr2:uid="{99DDF459-0558-49A5-BB59-666B6F261CFC}"/>
  </bookViews>
  <sheets>
    <sheet name="Home" sheetId="3" r:id="rId1"/>
    <sheet name="Descriptive Analysis" sheetId="4" r:id="rId2"/>
    <sheet name="Tables and Graph&amp;Charts" sheetId="1" r:id="rId3"/>
    <sheet name="Dataset" sheetId="2" r:id="rId4"/>
  </sheets>
  <definedNames>
    <definedName name="_xlcn.WorksheetConnection_Covid_data_Analysis.xlsxDataset" hidden="1">Dataset[]</definedName>
    <definedName name="DengueCount">'Tables and Graph&amp;Charts'!$A$3:$B$3</definedName>
    <definedName name="ExternalData_1" localSheetId="3" hidden="1">Dataset!$A$1:$K$997</definedName>
    <definedName name="ExternalData_1" localSheetId="2" hidden="1">'Tables and Graph&amp;Charts'!$BL$1:$BP$997</definedName>
    <definedName name="Slicer_AreaType">#N/A</definedName>
    <definedName name="Slicer_Gender">#N/A</definedName>
    <definedName name="Slicer_HouseType">#N/A</definedName>
  </definedNames>
  <calcPr calcId="191029"/>
  <pivotCaches>
    <pivotCache cacheId="2346" r:id="rId5"/>
    <pivotCache cacheId="2347" r:id="rId6"/>
    <pivotCache cacheId="2348" r:id="rId7"/>
    <pivotCache cacheId="2349" r:id="rId8"/>
    <pivotCache cacheId="2350" r:id="rId9"/>
    <pivotCache cacheId="2351" r:id="rId10"/>
    <pivotCache cacheId="2352" r:id="rId11"/>
    <pivotCache cacheId="2353" r:id="rId12"/>
    <pivotCache cacheId="2354" r:id="rId13"/>
    <pivotCache cacheId="2355" r:id="rId14"/>
    <pivotCache cacheId="2356" r:id="rId15"/>
    <pivotCache cacheId="2357" r:id="rId16"/>
    <pivotCache cacheId="2358" r:id="rId17"/>
    <pivotCache cacheId="2359" r:id="rId18"/>
    <pivotCache cacheId="2360" r:id="rId19"/>
    <pivotCache cacheId="2361" r:id="rId20"/>
    <pivotCache cacheId="2362" r:id="rId21"/>
    <pivotCache cacheId="2363" r:id="rId22"/>
    <pivotCache cacheId="2364" r:id="rId23"/>
  </pivotCaches>
  <extLst>
    <ext xmlns:x14="http://schemas.microsoft.com/office/spreadsheetml/2009/9/main" uri="{876F7934-8845-4945-9796-88D515C7AA90}">
      <x14:pivotCaches>
        <pivotCache cacheId="2365" r:id="rId24"/>
      </x14:pivotCaches>
    </ex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aset" name="Dataset" connection="WorksheetConnection_Covid_data_Analysis.xlsx!Datase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 i="2" l="1" a="1"/>
  <c r="C2" i="2" s="1"/>
  <c r="C3" i="2" a="1"/>
  <c r="C3" i="2" s="1"/>
  <c r="C4" i="2" a="1"/>
  <c r="C4" i="2" s="1"/>
  <c r="C5" i="2" a="1"/>
  <c r="C5" i="2" s="1"/>
  <c r="C6" i="2" a="1"/>
  <c r="C6" i="2" s="1"/>
  <c r="C7" i="2" a="1"/>
  <c r="C7" i="2" s="1"/>
  <c r="C8" i="2" a="1"/>
  <c r="C8" i="2" s="1"/>
  <c r="C9" i="2" a="1"/>
  <c r="C9" i="2" s="1"/>
  <c r="C10" i="2" a="1"/>
  <c r="C10" i="2" s="1"/>
  <c r="C11" i="2" a="1"/>
  <c r="C11" i="2" s="1"/>
  <c r="C12" i="2" a="1"/>
  <c r="C12" i="2" s="1"/>
  <c r="C13" i="2" a="1"/>
  <c r="C13" i="2"/>
  <c r="C14" i="2" a="1"/>
  <c r="C14" i="2" s="1"/>
  <c r="C15" i="2" a="1"/>
  <c r="C15" i="2" s="1"/>
  <c r="C16" i="2" a="1"/>
  <c r="C16" i="2" s="1"/>
  <c r="C17" i="2" a="1"/>
  <c r="C17" i="2" s="1"/>
  <c r="C18" i="2" a="1"/>
  <c r="C18" i="2" s="1"/>
  <c r="C19" i="2" a="1"/>
  <c r="C19" i="2" s="1"/>
  <c r="C20" i="2" a="1"/>
  <c r="C20" i="2" s="1"/>
  <c r="C21" i="2" a="1"/>
  <c r="C21" i="2"/>
  <c r="C22" i="2" a="1"/>
  <c r="C22" i="2" s="1"/>
  <c r="C23" i="2" a="1"/>
  <c r="C23" i="2" s="1"/>
  <c r="C24" i="2" a="1"/>
  <c r="C24" i="2" s="1"/>
  <c r="C25" i="2" a="1"/>
  <c r="C25" i="2" s="1"/>
  <c r="C26" i="2" a="1"/>
  <c r="C26" i="2" s="1"/>
  <c r="C27" i="2" a="1"/>
  <c r="C27" i="2" s="1"/>
  <c r="C28" i="2" a="1"/>
  <c r="C28" i="2" s="1"/>
  <c r="C29" i="2" a="1"/>
  <c r="C29" i="2"/>
  <c r="C30" i="2" a="1"/>
  <c r="C30" i="2" s="1"/>
  <c r="C31" i="2" a="1"/>
  <c r="C31" i="2" s="1"/>
  <c r="C32" i="2" a="1"/>
  <c r="C32" i="2" s="1"/>
  <c r="C33" i="2" a="1"/>
  <c r="C33" i="2" s="1"/>
  <c r="C34" i="2" a="1"/>
  <c r="C34" i="2" s="1"/>
  <c r="C35" i="2" a="1"/>
  <c r="C35" i="2" s="1"/>
  <c r="C36" i="2" a="1"/>
  <c r="C36" i="2" s="1"/>
  <c r="C37" i="2" a="1"/>
  <c r="C37" i="2"/>
  <c r="C38" i="2" a="1"/>
  <c r="C38" i="2" s="1"/>
  <c r="C39" i="2" a="1"/>
  <c r="C39" i="2" s="1"/>
  <c r="C40" i="2" a="1"/>
  <c r="C40" i="2" s="1"/>
  <c r="C41" i="2" a="1"/>
  <c r="C41" i="2"/>
  <c r="C42" i="2" a="1"/>
  <c r="C42" i="2" s="1"/>
  <c r="C43" i="2" a="1"/>
  <c r="C43" i="2" s="1"/>
  <c r="C44" i="2" a="1"/>
  <c r="C44" i="2" s="1"/>
  <c r="C45" i="2" a="1"/>
  <c r="C45" i="2" s="1"/>
  <c r="C46" i="2" a="1"/>
  <c r="C46" i="2" s="1"/>
  <c r="C47" i="2" a="1"/>
  <c r="C47" i="2" s="1"/>
  <c r="C48" i="2" a="1"/>
  <c r="C48" i="2" s="1"/>
  <c r="C49" i="2" a="1"/>
  <c r="C49" i="2" s="1"/>
  <c r="C50" i="2" a="1"/>
  <c r="C50" i="2" s="1"/>
  <c r="C51" i="2" a="1"/>
  <c r="C51" i="2" s="1"/>
  <c r="C52" i="2" a="1"/>
  <c r="C52" i="2" s="1"/>
  <c r="C53" i="2" a="1"/>
  <c r="C53" i="2" s="1"/>
  <c r="C54" i="2" a="1"/>
  <c r="C54" i="2" s="1"/>
  <c r="C55" i="2" a="1"/>
  <c r="C55" i="2" s="1"/>
  <c r="C56" i="2" a="1"/>
  <c r="C56" i="2" s="1"/>
  <c r="C57" i="2" a="1"/>
  <c r="C57" i="2"/>
  <c r="C58" i="2" a="1"/>
  <c r="C58" i="2" s="1"/>
  <c r="C59" i="2" a="1"/>
  <c r="C59" i="2" s="1"/>
  <c r="C60" i="2" a="1"/>
  <c r="C60" i="2" s="1"/>
  <c r="C61" i="2" a="1"/>
  <c r="C61" i="2" s="1"/>
  <c r="C62" i="2" a="1"/>
  <c r="C62" i="2" s="1"/>
  <c r="C63" i="2" a="1"/>
  <c r="C63" i="2" s="1"/>
  <c r="C64" i="2" a="1"/>
  <c r="C64" i="2" s="1"/>
  <c r="C65" i="2" a="1"/>
  <c r="C65" i="2" s="1"/>
  <c r="C66" i="2" a="1"/>
  <c r="C66" i="2" s="1"/>
  <c r="C67" i="2" a="1"/>
  <c r="C67" i="2" s="1"/>
  <c r="C68" i="2" a="1"/>
  <c r="C68" i="2" s="1"/>
  <c r="C69" i="2" a="1"/>
  <c r="C69" i="2" s="1"/>
  <c r="C70" i="2" a="1"/>
  <c r="C70" i="2" s="1"/>
  <c r="C71" i="2" a="1"/>
  <c r="C71" i="2" s="1"/>
  <c r="C72" i="2" a="1"/>
  <c r="C72" i="2" s="1"/>
  <c r="C73" i="2" a="1"/>
  <c r="C73" i="2" s="1"/>
  <c r="C74" i="2" a="1"/>
  <c r="C74" i="2" s="1"/>
  <c r="C75" i="2" a="1"/>
  <c r="C75" i="2" s="1"/>
  <c r="C76" i="2" a="1"/>
  <c r="C76" i="2" s="1"/>
  <c r="C77" i="2" a="1"/>
  <c r="C77" i="2" s="1"/>
  <c r="C78" i="2" a="1"/>
  <c r="C78" i="2" s="1"/>
  <c r="C79" i="2" a="1"/>
  <c r="C79" i="2" s="1"/>
  <c r="C80" i="2" a="1"/>
  <c r="C80" i="2" s="1"/>
  <c r="C81" i="2" a="1"/>
  <c r="C81" i="2" s="1"/>
  <c r="C82" i="2" a="1"/>
  <c r="C82" i="2" s="1"/>
  <c r="C83" i="2" a="1"/>
  <c r="C83" i="2" s="1"/>
  <c r="C84" i="2" a="1"/>
  <c r="C84" i="2" s="1"/>
  <c r="C85" i="2" a="1"/>
  <c r="C85" i="2"/>
  <c r="C86" i="2" a="1"/>
  <c r="C86" i="2" s="1"/>
  <c r="C87" i="2" a="1"/>
  <c r="C87" i="2" s="1"/>
  <c r="C88" i="2" a="1"/>
  <c r="C88" i="2" s="1"/>
  <c r="C89" i="2" a="1"/>
  <c r="C89" i="2" s="1"/>
  <c r="C90" i="2" a="1"/>
  <c r="C90" i="2" s="1"/>
  <c r="C91" i="2" a="1"/>
  <c r="C91" i="2" s="1"/>
  <c r="C92" i="2" a="1"/>
  <c r="C92" i="2" s="1"/>
  <c r="C93" i="2" a="1"/>
  <c r="C93" i="2" s="1"/>
  <c r="C94" i="2" a="1"/>
  <c r="C94" i="2" s="1"/>
  <c r="C95" i="2" a="1"/>
  <c r="C95" i="2" s="1"/>
  <c r="C96" i="2" a="1"/>
  <c r="C96" i="2" s="1"/>
  <c r="C97" i="2" a="1"/>
  <c r="C97" i="2" s="1"/>
  <c r="C98" i="2" a="1"/>
  <c r="C98" i="2" s="1"/>
  <c r="C99" i="2" a="1"/>
  <c r="C99" i="2" s="1"/>
  <c r="C100" i="2" a="1"/>
  <c r="C100" i="2" s="1"/>
  <c r="C101" i="2" a="1"/>
  <c r="C101" i="2" s="1"/>
  <c r="C102" i="2" a="1"/>
  <c r="C102" i="2" s="1"/>
  <c r="C103" i="2" a="1"/>
  <c r="C103" i="2" s="1"/>
  <c r="C104" i="2" a="1"/>
  <c r="C104" i="2" s="1"/>
  <c r="C105" i="2" a="1"/>
  <c r="C105" i="2" s="1"/>
  <c r="C106" i="2" a="1"/>
  <c r="C106" i="2" s="1"/>
  <c r="C107" i="2" a="1"/>
  <c r="C107" i="2" s="1"/>
  <c r="C108" i="2" a="1"/>
  <c r="C108" i="2" s="1"/>
  <c r="C109" i="2" a="1"/>
  <c r="C109" i="2" s="1"/>
  <c r="C110" i="2" a="1"/>
  <c r="C110" i="2" s="1"/>
  <c r="C111" i="2" a="1"/>
  <c r="C111" i="2" s="1"/>
  <c r="C112" i="2" a="1"/>
  <c r="C112" i="2" s="1"/>
  <c r="C113" i="2" a="1"/>
  <c r="C113" i="2" s="1"/>
  <c r="C114" i="2" a="1"/>
  <c r="C114" i="2" s="1"/>
  <c r="C115" i="2" a="1"/>
  <c r="C115" i="2" s="1"/>
  <c r="C116" i="2" a="1"/>
  <c r="C116" i="2" s="1"/>
  <c r="C117" i="2" a="1"/>
  <c r="C117" i="2" s="1"/>
  <c r="C118" i="2" a="1"/>
  <c r="C118" i="2" s="1"/>
  <c r="C119" i="2" a="1"/>
  <c r="C119" i="2" s="1"/>
  <c r="C120" i="2" a="1"/>
  <c r="C120" i="2" s="1"/>
  <c r="C121" i="2" a="1"/>
  <c r="C121" i="2" s="1"/>
  <c r="C122" i="2" a="1"/>
  <c r="C122" i="2" s="1"/>
  <c r="C123" i="2" a="1"/>
  <c r="C123" i="2" s="1"/>
  <c r="C124" i="2" a="1"/>
  <c r="C124" i="2" s="1"/>
  <c r="C125" i="2" a="1"/>
  <c r="C125" i="2" s="1"/>
  <c r="C126" i="2" a="1"/>
  <c r="C126" i="2" s="1"/>
  <c r="C127" i="2" a="1"/>
  <c r="C127" i="2" s="1"/>
  <c r="C128" i="2" a="1"/>
  <c r="C128" i="2" s="1"/>
  <c r="C129" i="2" a="1"/>
  <c r="C129" i="2" s="1"/>
  <c r="C130" i="2" a="1"/>
  <c r="C130" i="2" s="1"/>
  <c r="C131" i="2" a="1"/>
  <c r="C131" i="2" s="1"/>
  <c r="C132" i="2" a="1"/>
  <c r="C132" i="2" s="1"/>
  <c r="C133" i="2" a="1"/>
  <c r="C133" i="2" s="1"/>
  <c r="C134" i="2" a="1"/>
  <c r="C134" i="2" s="1"/>
  <c r="C135" i="2" a="1"/>
  <c r="C135" i="2" s="1"/>
  <c r="C136" i="2" a="1"/>
  <c r="C136" i="2" s="1"/>
  <c r="C137" i="2" a="1"/>
  <c r="C137" i="2" s="1"/>
  <c r="C138" i="2" a="1"/>
  <c r="C138" i="2" s="1"/>
  <c r="C139" i="2" a="1"/>
  <c r="C139" i="2" s="1"/>
  <c r="C140" i="2" a="1"/>
  <c r="C140" i="2" s="1"/>
  <c r="C141" i="2" a="1"/>
  <c r="C141" i="2" s="1"/>
  <c r="C142" i="2" a="1"/>
  <c r="C142" i="2" s="1"/>
  <c r="C143" i="2" a="1"/>
  <c r="C143" i="2" s="1"/>
  <c r="C144" i="2" a="1"/>
  <c r="C144" i="2" s="1"/>
  <c r="C145" i="2" a="1"/>
  <c r="C145" i="2" s="1"/>
  <c r="C146" i="2" a="1"/>
  <c r="C146" i="2" s="1"/>
  <c r="C147" i="2" a="1"/>
  <c r="C147" i="2" s="1"/>
  <c r="C148" i="2" a="1"/>
  <c r="C148" i="2" s="1"/>
  <c r="C149" i="2" a="1"/>
  <c r="C149" i="2" s="1"/>
  <c r="C150" i="2" a="1"/>
  <c r="C150" i="2" s="1"/>
  <c r="C151" i="2" a="1"/>
  <c r="C151" i="2" s="1"/>
  <c r="C152" i="2" a="1"/>
  <c r="C152" i="2" s="1"/>
  <c r="C153" i="2" a="1"/>
  <c r="C153" i="2" s="1"/>
  <c r="C154" i="2" a="1"/>
  <c r="C154" i="2" s="1"/>
  <c r="C155" i="2" a="1"/>
  <c r="C155" i="2" s="1"/>
  <c r="C156" i="2" a="1"/>
  <c r="C156" i="2" s="1"/>
  <c r="C157" i="2" a="1"/>
  <c r="C157" i="2" s="1"/>
  <c r="C158" i="2" a="1"/>
  <c r="C158" i="2" s="1"/>
  <c r="C159" i="2" a="1"/>
  <c r="C159" i="2" s="1"/>
  <c r="C160" i="2" a="1"/>
  <c r="C160" i="2" s="1"/>
  <c r="C161" i="2" a="1"/>
  <c r="C161" i="2" s="1"/>
  <c r="C162" i="2" a="1"/>
  <c r="C162" i="2" s="1"/>
  <c r="C163" i="2" a="1"/>
  <c r="C163" i="2" s="1"/>
  <c r="C164" i="2" a="1"/>
  <c r="C164" i="2" s="1"/>
  <c r="C165" i="2" a="1"/>
  <c r="C165" i="2" s="1"/>
  <c r="C166" i="2" a="1"/>
  <c r="C166" i="2" s="1"/>
  <c r="C167" i="2" a="1"/>
  <c r="C167" i="2" s="1"/>
  <c r="C168" i="2" a="1"/>
  <c r="C168" i="2" s="1"/>
  <c r="C169" i="2" a="1"/>
  <c r="C169" i="2"/>
  <c r="C170" i="2" a="1"/>
  <c r="C170" i="2" s="1"/>
  <c r="C171" i="2" a="1"/>
  <c r="C171" i="2" s="1"/>
  <c r="C172" i="2" a="1"/>
  <c r="C172" i="2" s="1"/>
  <c r="C173" i="2" a="1"/>
  <c r="C173" i="2" s="1"/>
  <c r="C174" i="2" a="1"/>
  <c r="C174" i="2" s="1"/>
  <c r="C175" i="2" a="1"/>
  <c r="C175" i="2" s="1"/>
  <c r="C176" i="2" a="1"/>
  <c r="C176" i="2" s="1"/>
  <c r="C177" i="2" a="1"/>
  <c r="C177" i="2" s="1"/>
  <c r="C178" i="2" a="1"/>
  <c r="C178" i="2" s="1"/>
  <c r="C179" i="2" a="1"/>
  <c r="C179" i="2" s="1"/>
  <c r="C180" i="2" a="1"/>
  <c r="C180" i="2" s="1"/>
  <c r="C181" i="2" a="1"/>
  <c r="C181" i="2"/>
  <c r="C182" i="2" a="1"/>
  <c r="C182" i="2" s="1"/>
  <c r="C183" i="2" a="1"/>
  <c r="C183" i="2" s="1"/>
  <c r="C184" i="2" a="1"/>
  <c r="C184" i="2" s="1"/>
  <c r="C185" i="2" a="1"/>
  <c r="C185" i="2"/>
  <c r="C186" i="2" a="1"/>
  <c r="C186" i="2" s="1"/>
  <c r="C187" i="2" a="1"/>
  <c r="C187" i="2" s="1"/>
  <c r="C188" i="2" a="1"/>
  <c r="C188" i="2" s="1"/>
  <c r="C189" i="2" a="1"/>
  <c r="C189" i="2" s="1"/>
  <c r="C190" i="2" a="1"/>
  <c r="C190" i="2" s="1"/>
  <c r="C191" i="2" a="1"/>
  <c r="C191" i="2" s="1"/>
  <c r="C192" i="2" a="1"/>
  <c r="C192" i="2" s="1"/>
  <c r="C193" i="2" a="1"/>
  <c r="C193" i="2" s="1"/>
  <c r="C194" i="2" a="1"/>
  <c r="C194" i="2" s="1"/>
  <c r="C195" i="2" a="1"/>
  <c r="C195" i="2" s="1"/>
  <c r="C196" i="2" a="1"/>
  <c r="C196" i="2" s="1"/>
  <c r="C197" i="2" a="1"/>
  <c r="C197" i="2" s="1"/>
  <c r="C198" i="2" a="1"/>
  <c r="C198" i="2" s="1"/>
  <c r="C199" i="2" a="1"/>
  <c r="C199" i="2" s="1"/>
  <c r="C200" i="2" a="1"/>
  <c r="C200" i="2" s="1"/>
  <c r="C201" i="2" a="1"/>
  <c r="C201" i="2" s="1"/>
  <c r="C202" i="2" a="1"/>
  <c r="C202" i="2" s="1"/>
  <c r="C203" i="2" a="1"/>
  <c r="C203" i="2" s="1"/>
  <c r="C204" i="2" a="1"/>
  <c r="C204" i="2" s="1"/>
  <c r="C205" i="2" a="1"/>
  <c r="C205" i="2" s="1"/>
  <c r="C206" i="2" a="1"/>
  <c r="C206" i="2" s="1"/>
  <c r="C207" i="2" a="1"/>
  <c r="C207" i="2" s="1"/>
  <c r="C208" i="2" a="1"/>
  <c r="C208" i="2" s="1"/>
  <c r="C209" i="2" a="1"/>
  <c r="C209" i="2" s="1"/>
  <c r="C210" i="2" a="1"/>
  <c r="C210" i="2" s="1"/>
  <c r="C211" i="2" a="1"/>
  <c r="C211" i="2" s="1"/>
  <c r="C212" i="2" a="1"/>
  <c r="C212" i="2" s="1"/>
  <c r="C213" i="2" a="1"/>
  <c r="C213" i="2" s="1"/>
  <c r="C214" i="2" a="1"/>
  <c r="C214" i="2" s="1"/>
  <c r="C215" i="2" a="1"/>
  <c r="C215" i="2" s="1"/>
  <c r="C216" i="2" a="1"/>
  <c r="C216" i="2" s="1"/>
  <c r="C217" i="2" a="1"/>
  <c r="C217" i="2" s="1"/>
  <c r="C218" i="2" a="1"/>
  <c r="C218" i="2" s="1"/>
  <c r="C219" i="2" a="1"/>
  <c r="C219" i="2" s="1"/>
  <c r="C220" i="2" a="1"/>
  <c r="C220" i="2" s="1"/>
  <c r="C221" i="2" a="1"/>
  <c r="C221" i="2" s="1"/>
  <c r="C222" i="2" a="1"/>
  <c r="C222" i="2" s="1"/>
  <c r="C223" i="2" a="1"/>
  <c r="C223" i="2" s="1"/>
  <c r="C224" i="2" a="1"/>
  <c r="C224" i="2" s="1"/>
  <c r="C225" i="2" a="1"/>
  <c r="C225" i="2" s="1"/>
  <c r="C226" i="2" a="1"/>
  <c r="C226" i="2" s="1"/>
  <c r="C227" i="2" a="1"/>
  <c r="C227" i="2" s="1"/>
  <c r="C228" i="2" a="1"/>
  <c r="C228" i="2" s="1"/>
  <c r="C229" i="2" a="1"/>
  <c r="C229" i="2" s="1"/>
  <c r="C230" i="2" a="1"/>
  <c r="C230" i="2" s="1"/>
  <c r="C231" i="2" a="1"/>
  <c r="C231" i="2" s="1"/>
  <c r="C232" i="2" a="1"/>
  <c r="C232" i="2" s="1"/>
  <c r="C233" i="2" a="1"/>
  <c r="C233" i="2"/>
  <c r="C234" i="2" a="1"/>
  <c r="C234" i="2" s="1"/>
  <c r="C235" i="2" a="1"/>
  <c r="C235" i="2" s="1"/>
  <c r="C236" i="2" a="1"/>
  <c r="C236" i="2" s="1"/>
  <c r="C237" i="2" a="1"/>
  <c r="C237" i="2" s="1"/>
  <c r="C238" i="2" a="1"/>
  <c r="C238" i="2" s="1"/>
  <c r="C239" i="2" a="1"/>
  <c r="C239" i="2" s="1"/>
  <c r="C240" i="2" a="1"/>
  <c r="C240" i="2" s="1"/>
  <c r="C241" i="2" a="1"/>
  <c r="C241" i="2" s="1"/>
  <c r="C242" i="2" a="1"/>
  <c r="C242" i="2" s="1"/>
  <c r="C243" i="2" a="1"/>
  <c r="C243" i="2" s="1"/>
  <c r="C244" i="2" a="1"/>
  <c r="C244" i="2" s="1"/>
  <c r="C245" i="2" a="1"/>
  <c r="C245" i="2"/>
  <c r="C246" i="2" a="1"/>
  <c r="C246" i="2" s="1"/>
  <c r="C247" i="2" a="1"/>
  <c r="C247" i="2" s="1"/>
  <c r="C248" i="2" a="1"/>
  <c r="C248" i="2" s="1"/>
  <c r="C249" i="2" a="1"/>
  <c r="C249" i="2"/>
  <c r="C250" i="2" a="1"/>
  <c r="C250" i="2" s="1"/>
  <c r="C251" i="2" a="1"/>
  <c r="C251" i="2" s="1"/>
  <c r="C252" i="2" a="1"/>
  <c r="C252" i="2" s="1"/>
  <c r="C253" i="2" a="1"/>
  <c r="C253" i="2" s="1"/>
  <c r="C254" i="2" a="1"/>
  <c r="C254" i="2" s="1"/>
  <c r="C255" i="2" a="1"/>
  <c r="C255" i="2" s="1"/>
  <c r="C256" i="2" a="1"/>
  <c r="C256" i="2" s="1"/>
  <c r="C257" i="2" a="1"/>
  <c r="C257" i="2" s="1"/>
  <c r="C258" i="2" a="1"/>
  <c r="C258" i="2" s="1"/>
  <c r="C259" i="2" a="1"/>
  <c r="C259" i="2" s="1"/>
  <c r="C260" i="2" a="1"/>
  <c r="C260" i="2" s="1"/>
  <c r="C261" i="2" a="1"/>
  <c r="C261" i="2" s="1"/>
  <c r="C262" i="2" a="1"/>
  <c r="C262" i="2" s="1"/>
  <c r="C263" i="2" a="1"/>
  <c r="C263" i="2" s="1"/>
  <c r="C264" i="2" a="1"/>
  <c r="C264" i="2" s="1"/>
  <c r="C265" i="2" a="1"/>
  <c r="C265" i="2" s="1"/>
  <c r="C266" i="2" a="1"/>
  <c r="C266" i="2" s="1"/>
  <c r="C267" i="2" a="1"/>
  <c r="C267" i="2" s="1"/>
  <c r="C268" i="2" a="1"/>
  <c r="C268" i="2" s="1"/>
  <c r="C269" i="2" a="1"/>
  <c r="C269" i="2" s="1"/>
  <c r="C270" i="2" a="1"/>
  <c r="C270" i="2" s="1"/>
  <c r="C271" i="2" a="1"/>
  <c r="C271" i="2" s="1"/>
  <c r="C272" i="2" a="1"/>
  <c r="C272" i="2" s="1"/>
  <c r="C273" i="2" a="1"/>
  <c r="C273" i="2" s="1"/>
  <c r="C274" i="2" a="1"/>
  <c r="C274" i="2" s="1"/>
  <c r="C275" i="2" a="1"/>
  <c r="C275" i="2" s="1"/>
  <c r="C276" i="2" a="1"/>
  <c r="C276" i="2" s="1"/>
  <c r="C277" i="2" a="1"/>
  <c r="C277" i="2" s="1"/>
  <c r="C278" i="2" a="1"/>
  <c r="C278" i="2" s="1"/>
  <c r="C279" i="2" a="1"/>
  <c r="C279" i="2" s="1"/>
  <c r="C280" i="2" a="1"/>
  <c r="C280" i="2" s="1"/>
  <c r="C281" i="2" a="1"/>
  <c r="C281" i="2" s="1"/>
  <c r="C282" i="2" a="1"/>
  <c r="C282" i="2" s="1"/>
  <c r="C283" i="2" a="1"/>
  <c r="C283" i="2" s="1"/>
  <c r="C284" i="2" a="1"/>
  <c r="C284" i="2" s="1"/>
  <c r="C285" i="2" a="1"/>
  <c r="C285" i="2" s="1"/>
  <c r="C286" i="2" a="1"/>
  <c r="C286" i="2" s="1"/>
  <c r="C287" i="2" a="1"/>
  <c r="C287" i="2" s="1"/>
  <c r="C288" i="2" a="1"/>
  <c r="C288" i="2" s="1"/>
  <c r="C289" i="2" a="1"/>
  <c r="C289" i="2" s="1"/>
  <c r="C290" i="2" a="1"/>
  <c r="C290" i="2" s="1"/>
  <c r="C291" i="2" a="1"/>
  <c r="C291" i="2" s="1"/>
  <c r="C292" i="2" a="1"/>
  <c r="C292" i="2" s="1"/>
  <c r="C293" i="2" a="1"/>
  <c r="C293" i="2" s="1"/>
  <c r="C294" i="2" a="1"/>
  <c r="C294" i="2" s="1"/>
  <c r="C295" i="2" a="1"/>
  <c r="C295" i="2" s="1"/>
  <c r="C296" i="2" a="1"/>
  <c r="C296" i="2" s="1"/>
  <c r="C297" i="2" a="1"/>
  <c r="C297" i="2" s="1"/>
  <c r="C298" i="2" a="1"/>
  <c r="C298" i="2" s="1"/>
  <c r="C299" i="2" a="1"/>
  <c r="C299" i="2" s="1"/>
  <c r="C300" i="2" a="1"/>
  <c r="C300" i="2" s="1"/>
  <c r="C301" i="2" a="1"/>
  <c r="C301" i="2"/>
  <c r="C302" i="2" a="1"/>
  <c r="C302" i="2" s="1"/>
  <c r="C303" i="2" a="1"/>
  <c r="C303" i="2" s="1"/>
  <c r="C304" i="2" a="1"/>
  <c r="C304" i="2" s="1"/>
  <c r="C305" i="2" a="1"/>
  <c r="C305" i="2" s="1"/>
  <c r="C306" i="2" a="1"/>
  <c r="C306" i="2" s="1"/>
  <c r="C307" i="2" a="1"/>
  <c r="C307" i="2" s="1"/>
  <c r="C308" i="2" a="1"/>
  <c r="C308" i="2" s="1"/>
  <c r="C309" i="2" a="1"/>
  <c r="C309" i="2" s="1"/>
  <c r="C310" i="2" a="1"/>
  <c r="C310" i="2" s="1"/>
  <c r="C311" i="2" a="1"/>
  <c r="C311" i="2" s="1"/>
  <c r="C312" i="2" a="1"/>
  <c r="C312" i="2" s="1"/>
  <c r="C313" i="2" a="1"/>
  <c r="C313" i="2" s="1"/>
  <c r="C314" i="2" a="1"/>
  <c r="C314" i="2" s="1"/>
  <c r="C315" i="2" a="1"/>
  <c r="C315" i="2" s="1"/>
  <c r="C316" i="2" a="1"/>
  <c r="C316" i="2" s="1"/>
  <c r="C317" i="2" a="1"/>
  <c r="C317" i="2" s="1"/>
  <c r="C318" i="2" a="1"/>
  <c r="C318" i="2" s="1"/>
  <c r="C319" i="2" a="1"/>
  <c r="C319" i="2" s="1"/>
  <c r="C320" i="2" a="1"/>
  <c r="C320" i="2" s="1"/>
  <c r="C321" i="2" a="1"/>
  <c r="C321" i="2" s="1"/>
  <c r="C322" i="2" a="1"/>
  <c r="C322" i="2" s="1"/>
  <c r="C323" i="2" a="1"/>
  <c r="C323" i="2" s="1"/>
  <c r="C324" i="2" a="1"/>
  <c r="C324" i="2" s="1"/>
  <c r="C325" i="2" a="1"/>
  <c r="C325" i="2" s="1"/>
  <c r="C326" i="2" a="1"/>
  <c r="C326" i="2" s="1"/>
  <c r="C327" i="2" a="1"/>
  <c r="C327" i="2" s="1"/>
  <c r="C328" i="2" a="1"/>
  <c r="C328" i="2" s="1"/>
  <c r="C329" i="2" a="1"/>
  <c r="C329" i="2" s="1"/>
  <c r="C330" i="2" a="1"/>
  <c r="C330" i="2" s="1"/>
  <c r="C331" i="2" a="1"/>
  <c r="C331" i="2" s="1"/>
  <c r="C332" i="2" a="1"/>
  <c r="C332" i="2" s="1"/>
  <c r="C333" i="2" a="1"/>
  <c r="C333" i="2" s="1"/>
  <c r="C334" i="2" a="1"/>
  <c r="C334" i="2" s="1"/>
  <c r="C335" i="2" a="1"/>
  <c r="C335" i="2" s="1"/>
  <c r="C336" i="2" a="1"/>
  <c r="C336" i="2" s="1"/>
  <c r="C337" i="2" a="1"/>
  <c r="C337" i="2" s="1"/>
  <c r="C338" i="2" a="1"/>
  <c r="C338" i="2" s="1"/>
  <c r="C339" i="2" a="1"/>
  <c r="C339" i="2" s="1"/>
  <c r="C340" i="2" a="1"/>
  <c r="C340" i="2" s="1"/>
  <c r="C341" i="2" a="1"/>
  <c r="C341" i="2"/>
  <c r="C342" i="2" a="1"/>
  <c r="C342" i="2" s="1"/>
  <c r="C343" i="2" a="1"/>
  <c r="C343" i="2" s="1"/>
  <c r="C344" i="2" a="1"/>
  <c r="C344" i="2"/>
  <c r="C345" i="2" a="1"/>
  <c r="C345" i="2" s="1"/>
  <c r="C346" i="2" a="1"/>
  <c r="C346" i="2" s="1"/>
  <c r="C347" i="2" a="1"/>
  <c r="C347" i="2" s="1"/>
  <c r="C348" i="2" a="1"/>
  <c r="C348" i="2" s="1"/>
  <c r="C349" i="2" a="1"/>
  <c r="C349" i="2"/>
  <c r="C350" i="2" a="1"/>
  <c r="C350" i="2" s="1"/>
  <c r="C351" i="2" a="1"/>
  <c r="C351" i="2" s="1"/>
  <c r="C352" i="2" a="1"/>
  <c r="C352" i="2" s="1"/>
  <c r="C353" i="2" a="1"/>
  <c r="C353" i="2"/>
  <c r="C354" i="2" a="1"/>
  <c r="C354" i="2"/>
  <c r="C355" i="2" a="1"/>
  <c r="C355" i="2" s="1"/>
  <c r="C356" i="2" a="1"/>
  <c r="C356" i="2"/>
  <c r="C357" i="2" a="1"/>
  <c r="C357" i="2" s="1"/>
  <c r="C358" i="2" a="1"/>
  <c r="C358" i="2" s="1"/>
  <c r="C359" i="2" a="1"/>
  <c r="C359" i="2" s="1"/>
  <c r="C360" i="2" a="1"/>
  <c r="C360" i="2" s="1"/>
  <c r="C361" i="2" a="1"/>
  <c r="C361" i="2"/>
  <c r="C362" i="2" a="1"/>
  <c r="C362" i="2" s="1"/>
  <c r="C363" i="2" a="1"/>
  <c r="C363" i="2" s="1"/>
  <c r="C364" i="2" a="1"/>
  <c r="C364" i="2"/>
  <c r="C365" i="2" a="1"/>
  <c r="C365" i="2" s="1"/>
  <c r="C366" i="2" a="1"/>
  <c r="C366" i="2" s="1"/>
  <c r="C367" i="2" a="1"/>
  <c r="C367" i="2" s="1"/>
  <c r="C368" i="2" a="1"/>
  <c r="C368" i="2"/>
  <c r="C369" i="2" a="1"/>
  <c r="C369" i="2"/>
  <c r="C370" i="2" a="1"/>
  <c r="C370" i="2" s="1"/>
  <c r="C371" i="2" a="1"/>
  <c r="C371" i="2" s="1"/>
  <c r="C372" i="2" a="1"/>
  <c r="C372" i="2" s="1"/>
  <c r="C373" i="2" a="1"/>
  <c r="C373" i="2" s="1"/>
  <c r="C374" i="2" a="1"/>
  <c r="C374" i="2" s="1"/>
  <c r="C375" i="2" a="1"/>
  <c r="C375" i="2" s="1"/>
  <c r="C376" i="2" a="1"/>
  <c r="C376" i="2" s="1"/>
  <c r="C377" i="2" a="1"/>
  <c r="C377" i="2" s="1"/>
  <c r="C378" i="2" a="1"/>
  <c r="C378" i="2"/>
  <c r="C379" i="2" a="1"/>
  <c r="C379" i="2" s="1"/>
  <c r="C380" i="2" a="1"/>
  <c r="C380" i="2" s="1"/>
  <c r="C381" i="2" a="1"/>
  <c r="C381" i="2" s="1"/>
  <c r="C382" i="2" a="1"/>
  <c r="C382" i="2"/>
  <c r="C383" i="2" a="1"/>
  <c r="C383" i="2" s="1"/>
  <c r="C384" i="2" a="1"/>
  <c r="C384" i="2" s="1"/>
  <c r="C385" i="2" a="1"/>
  <c r="C385" i="2" s="1"/>
  <c r="C386" i="2" a="1"/>
  <c r="C386" i="2" s="1"/>
  <c r="C387" i="2" a="1"/>
  <c r="C387" i="2" s="1"/>
  <c r="C388" i="2" a="1"/>
  <c r="C388" i="2" s="1"/>
  <c r="C389" i="2" a="1"/>
  <c r="C389" i="2" s="1"/>
  <c r="C390" i="2" a="1"/>
  <c r="C390" i="2" s="1"/>
  <c r="C391" i="2" a="1"/>
  <c r="C391" i="2" s="1"/>
  <c r="C392" i="2" a="1"/>
  <c r="C392" i="2" s="1"/>
  <c r="C393" i="2" a="1"/>
  <c r="C393" i="2" s="1"/>
  <c r="C394" i="2" a="1"/>
  <c r="C394" i="2" s="1"/>
  <c r="C395" i="2" a="1"/>
  <c r="C395" i="2" s="1"/>
  <c r="C396" i="2" a="1"/>
  <c r="C396" i="2" s="1"/>
  <c r="C397" i="2" a="1"/>
  <c r="C397" i="2" s="1"/>
  <c r="C398" i="2" a="1"/>
  <c r="C398" i="2" s="1"/>
  <c r="C399" i="2" a="1"/>
  <c r="C399" i="2" s="1"/>
  <c r="C400" i="2" a="1"/>
  <c r="C400" i="2" s="1"/>
  <c r="C401" i="2" a="1"/>
  <c r="C401" i="2" s="1"/>
  <c r="C402" i="2" a="1"/>
  <c r="C402" i="2" s="1"/>
  <c r="C403" i="2" a="1"/>
  <c r="C403" i="2" s="1"/>
  <c r="C404" i="2" a="1"/>
  <c r="C404" i="2" s="1"/>
  <c r="C405" i="2" a="1"/>
  <c r="C405" i="2" s="1"/>
  <c r="C406" i="2" a="1"/>
  <c r="C406" i="2"/>
  <c r="C407" i="2" a="1"/>
  <c r="C407" i="2" s="1"/>
  <c r="C408" i="2" a="1"/>
  <c r="C408" i="2" s="1"/>
  <c r="C409" i="2" a="1"/>
  <c r="C409" i="2"/>
  <c r="C410" i="2" a="1"/>
  <c r="C410" i="2" s="1"/>
  <c r="C411" i="2" a="1"/>
  <c r="C411" i="2" s="1"/>
  <c r="C412" i="2" a="1"/>
  <c r="C412" i="2" s="1"/>
  <c r="C413" i="2" a="1"/>
  <c r="C413" i="2" s="1"/>
  <c r="C414" i="2" a="1"/>
  <c r="C414" i="2" s="1"/>
  <c r="C415" i="2" a="1"/>
  <c r="C415" i="2" s="1"/>
  <c r="C416" i="2" a="1"/>
  <c r="C416" i="2" s="1"/>
  <c r="C417" i="2" a="1"/>
  <c r="C417" i="2"/>
  <c r="C418" i="2" a="1"/>
  <c r="C418" i="2"/>
  <c r="C419" i="2" a="1"/>
  <c r="C419" i="2" s="1"/>
  <c r="C420" i="2" a="1"/>
  <c r="C420" i="2"/>
  <c r="C421" i="2" a="1"/>
  <c r="C421" i="2" s="1"/>
  <c r="C422" i="2" a="1"/>
  <c r="C422" i="2" s="1"/>
  <c r="C423" i="2" a="1"/>
  <c r="C423" i="2" s="1"/>
  <c r="C424" i="2" a="1"/>
  <c r="C424" i="2"/>
  <c r="C425" i="2" a="1"/>
  <c r="C425" i="2" s="1"/>
  <c r="C426" i="2" a="1"/>
  <c r="C426" i="2"/>
  <c r="C427" i="2" a="1"/>
  <c r="C427" i="2" s="1"/>
  <c r="C428" i="2" a="1"/>
  <c r="C428" i="2"/>
  <c r="C429" i="2" a="1"/>
  <c r="C429" i="2"/>
  <c r="C430" i="2" a="1"/>
  <c r="C430" i="2" s="1"/>
  <c r="C431" i="2" a="1"/>
  <c r="C431" i="2" s="1"/>
  <c r="C432" i="2" a="1"/>
  <c r="C432" i="2" s="1"/>
  <c r="C433" i="2" a="1"/>
  <c r="C433" i="2"/>
  <c r="C434" i="2" a="1"/>
  <c r="C434" i="2" s="1"/>
  <c r="C435" i="2" a="1"/>
  <c r="C435" i="2" s="1"/>
  <c r="C436" i="2" a="1"/>
  <c r="C436" i="2" s="1"/>
  <c r="C437" i="2" a="1"/>
  <c r="C437" i="2"/>
  <c r="C438" i="2" a="1"/>
  <c r="C438" i="2" s="1"/>
  <c r="C439" i="2" a="1"/>
  <c r="C439" i="2" s="1"/>
  <c r="C440" i="2" a="1"/>
  <c r="C440" i="2"/>
  <c r="C441" i="2" a="1"/>
  <c r="C441" i="2" s="1"/>
  <c r="C442" i="2" a="1"/>
  <c r="C442" i="2" s="1"/>
  <c r="C443" i="2" a="1"/>
  <c r="C443" i="2" s="1"/>
  <c r="C444" i="2" a="1"/>
  <c r="C444" i="2" s="1"/>
  <c r="C445" i="2" a="1"/>
  <c r="C445" i="2" s="1"/>
  <c r="C446" i="2" a="1"/>
  <c r="C446" i="2" s="1"/>
  <c r="C447" i="2" a="1"/>
  <c r="C447" i="2" s="1"/>
  <c r="C448" i="2" a="1"/>
  <c r="C448" i="2" s="1"/>
  <c r="C449" i="2" a="1"/>
  <c r="C449" i="2" s="1"/>
  <c r="C450" i="2" a="1"/>
  <c r="C450" i="2" s="1"/>
  <c r="C451" i="2" a="1"/>
  <c r="C451" i="2" s="1"/>
  <c r="C452" i="2" a="1"/>
  <c r="C452" i="2" s="1"/>
  <c r="C453" i="2" a="1"/>
  <c r="C453" i="2" s="1"/>
  <c r="C454" i="2" a="1"/>
  <c r="C454" i="2" s="1"/>
  <c r="C455" i="2" a="1"/>
  <c r="C455" i="2" s="1"/>
  <c r="C456" i="2" a="1"/>
  <c r="C456" i="2" s="1"/>
  <c r="C457" i="2" a="1"/>
  <c r="C457" i="2" s="1"/>
  <c r="C458" i="2" a="1"/>
  <c r="C458" i="2" s="1"/>
  <c r="C459" i="2" a="1"/>
  <c r="C459" i="2" s="1"/>
  <c r="C460" i="2" a="1"/>
  <c r="C460" i="2" s="1"/>
  <c r="C461" i="2" a="1"/>
  <c r="C461" i="2" s="1"/>
  <c r="C462" i="2" a="1"/>
  <c r="C462" i="2" s="1"/>
  <c r="C463" i="2" a="1"/>
  <c r="C463" i="2" s="1"/>
  <c r="C464" i="2" a="1"/>
  <c r="C464" i="2"/>
  <c r="C465" i="2" a="1"/>
  <c r="C465" i="2" s="1"/>
  <c r="C466" i="2" a="1"/>
  <c r="C466" i="2" s="1"/>
  <c r="C467" i="2" a="1"/>
  <c r="C467" i="2" s="1"/>
  <c r="C468" i="2" a="1"/>
  <c r="C468" i="2" s="1"/>
  <c r="C469" i="2" a="1"/>
  <c r="C469" i="2" s="1"/>
  <c r="C470" i="2" a="1"/>
  <c r="C470" i="2" s="1"/>
  <c r="C471" i="2" a="1"/>
  <c r="C471" i="2" s="1"/>
  <c r="C472" i="2" a="1"/>
  <c r="C472" i="2" s="1"/>
  <c r="C473" i="2" a="1"/>
  <c r="C473" i="2" s="1"/>
  <c r="C474" i="2" a="1"/>
  <c r="C474" i="2"/>
  <c r="C475" i="2" a="1"/>
  <c r="C475" i="2" s="1"/>
  <c r="C476" i="2" a="1"/>
  <c r="C476" i="2" s="1"/>
  <c r="C477" i="2" a="1"/>
  <c r="C477" i="2" s="1"/>
  <c r="C478" i="2" a="1"/>
  <c r="C478" i="2"/>
  <c r="C479" i="2" a="1"/>
  <c r="C479" i="2" s="1"/>
  <c r="C480" i="2" a="1"/>
  <c r="C480" i="2" s="1"/>
  <c r="C481" i="2" a="1"/>
  <c r="C481" i="2" s="1"/>
  <c r="C482" i="2" a="1"/>
  <c r="C482" i="2" s="1"/>
  <c r="C483" i="2" a="1"/>
  <c r="C483" i="2" s="1"/>
  <c r="C484" i="2" a="1"/>
  <c r="C484" i="2"/>
  <c r="C485" i="2" a="1"/>
  <c r="C485" i="2" s="1"/>
  <c r="C486" i="2" a="1"/>
  <c r="C486" i="2" s="1"/>
  <c r="C487" i="2" a="1"/>
  <c r="C487" i="2" s="1"/>
  <c r="C488" i="2" a="1"/>
  <c r="C488" i="2" s="1"/>
  <c r="C489" i="2" a="1"/>
  <c r="C489" i="2" s="1"/>
  <c r="C490" i="2" a="1"/>
  <c r="C490" i="2"/>
  <c r="C491" i="2" a="1"/>
  <c r="C491" i="2" s="1"/>
  <c r="C492" i="2" a="1"/>
  <c r="C492" i="2"/>
  <c r="C493" i="2" a="1"/>
  <c r="C493" i="2" s="1"/>
  <c r="C494" i="2" a="1"/>
  <c r="C494" i="2" s="1"/>
  <c r="C495" i="2" a="1"/>
  <c r="C495" i="2" s="1"/>
  <c r="C496" i="2" a="1"/>
  <c r="C496" i="2" s="1"/>
  <c r="C497" i="2" a="1"/>
  <c r="C497" i="2" s="1"/>
  <c r="C498" i="2" a="1"/>
  <c r="C498" i="2" s="1"/>
  <c r="C499" i="2" a="1"/>
  <c r="C499" i="2" s="1"/>
  <c r="C500" i="2" a="1"/>
  <c r="C500" i="2" s="1"/>
  <c r="C501" i="2" a="1"/>
  <c r="C501" i="2" s="1"/>
  <c r="C502" i="2" a="1"/>
  <c r="C502" i="2"/>
  <c r="C503" i="2" a="1"/>
  <c r="C503" i="2" s="1"/>
  <c r="C504" i="2" a="1"/>
  <c r="C504" i="2" s="1"/>
  <c r="C505" i="2" a="1"/>
  <c r="C505" i="2" s="1"/>
  <c r="C506" i="2" a="1"/>
  <c r="C506" i="2" s="1"/>
  <c r="C507" i="2" a="1"/>
  <c r="C507" i="2" s="1"/>
  <c r="C508" i="2" a="1"/>
  <c r="C508" i="2" s="1"/>
  <c r="C509" i="2" a="1"/>
  <c r="C509" i="2" s="1"/>
  <c r="C510" i="2" a="1"/>
  <c r="C510" i="2" s="1"/>
  <c r="C511" i="2" a="1"/>
  <c r="C511" i="2" s="1"/>
  <c r="C512" i="2" a="1"/>
  <c r="C512" i="2" s="1"/>
  <c r="C513" i="2" a="1"/>
  <c r="C513" i="2"/>
  <c r="C514" i="2" a="1"/>
  <c r="C514" i="2" s="1"/>
  <c r="C515" i="2" a="1"/>
  <c r="C515" i="2" s="1"/>
  <c r="C516" i="2" a="1"/>
  <c r="C516" i="2" s="1"/>
  <c r="C517" i="2" a="1"/>
  <c r="C517" i="2" s="1"/>
  <c r="C518" i="2" a="1"/>
  <c r="C518" i="2" s="1"/>
  <c r="C519" i="2" a="1"/>
  <c r="C519" i="2" s="1"/>
  <c r="C520" i="2" a="1"/>
  <c r="C520" i="2"/>
  <c r="C521" i="2" a="1"/>
  <c r="C521" i="2" s="1"/>
  <c r="C522" i="2" a="1"/>
  <c r="C522" i="2" s="1"/>
  <c r="C523" i="2" a="1"/>
  <c r="C523" i="2" s="1"/>
  <c r="C524" i="2" a="1"/>
  <c r="C524" i="2" s="1"/>
  <c r="C525" i="2" a="1"/>
  <c r="C525" i="2" s="1"/>
  <c r="C526" i="2" a="1"/>
  <c r="C526" i="2" s="1"/>
  <c r="C527" i="2" a="1"/>
  <c r="C527" i="2" s="1"/>
  <c r="C528" i="2" a="1"/>
  <c r="C528" i="2" s="1"/>
  <c r="C529" i="2" a="1"/>
  <c r="C529" i="2"/>
  <c r="C530" i="2" a="1"/>
  <c r="C530" i="2" s="1"/>
  <c r="C531" i="2" a="1"/>
  <c r="C531" i="2" s="1"/>
  <c r="C532" i="2" a="1"/>
  <c r="C532" i="2" s="1"/>
  <c r="C533" i="2" a="1"/>
  <c r="C533" i="2"/>
  <c r="C534" i="2" a="1"/>
  <c r="C534" i="2" s="1"/>
  <c r="C535" i="2" a="1"/>
  <c r="C535" i="2" s="1"/>
  <c r="C536" i="2" a="1"/>
  <c r="C536" i="2"/>
  <c r="C537" i="2" a="1"/>
  <c r="C537" i="2" s="1"/>
  <c r="C538" i="2" a="1"/>
  <c r="C538" i="2"/>
  <c r="C539" i="2" a="1"/>
  <c r="C539" i="2" s="1"/>
  <c r="C540" i="2" a="1"/>
  <c r="C540" i="2" s="1"/>
  <c r="C541" i="2" a="1"/>
  <c r="C541" i="2" s="1"/>
  <c r="C542" i="2" a="1"/>
  <c r="C542" i="2"/>
  <c r="C543" i="2" a="1"/>
  <c r="C543" i="2" s="1"/>
  <c r="C544" i="2" a="1"/>
  <c r="C544" i="2" s="1"/>
  <c r="C545" i="2" a="1"/>
  <c r="C545" i="2" s="1"/>
  <c r="C546" i="2" a="1"/>
  <c r="C546" i="2" s="1"/>
  <c r="C547" i="2" a="1"/>
  <c r="C547" i="2" s="1"/>
  <c r="C548" i="2" a="1"/>
  <c r="C548" i="2"/>
  <c r="C549" i="2" a="1"/>
  <c r="C549" i="2" s="1"/>
  <c r="C550" i="2" a="1"/>
  <c r="C550" i="2" s="1"/>
  <c r="C551" i="2" a="1"/>
  <c r="C551" i="2" s="1"/>
  <c r="C552" i="2" a="1"/>
  <c r="C552" i="2" s="1"/>
  <c r="C553" i="2" a="1"/>
  <c r="C553" i="2" s="1"/>
  <c r="C554" i="2" a="1"/>
  <c r="C554" i="2"/>
  <c r="C555" i="2" a="1"/>
  <c r="C555" i="2" s="1"/>
  <c r="C556" i="2" a="1"/>
  <c r="C556" i="2"/>
  <c r="C557" i="2" a="1"/>
  <c r="C557" i="2" s="1"/>
  <c r="C558" i="2" a="1"/>
  <c r="C558" i="2" s="1"/>
  <c r="C559" i="2" a="1"/>
  <c r="C559" i="2" s="1"/>
  <c r="C560" i="2" a="1"/>
  <c r="C560" i="2" s="1"/>
  <c r="C561" i="2" a="1"/>
  <c r="C561" i="2" s="1"/>
  <c r="C562" i="2" a="1"/>
  <c r="C562" i="2" s="1"/>
  <c r="C563" i="2" a="1"/>
  <c r="C563" i="2" s="1"/>
  <c r="C564" i="2" a="1"/>
  <c r="C564" i="2" s="1"/>
  <c r="C565" i="2" a="1"/>
  <c r="C565" i="2" s="1"/>
  <c r="C566" i="2" a="1"/>
  <c r="C566" i="2"/>
  <c r="C567" i="2" a="1"/>
  <c r="C567" i="2" s="1"/>
  <c r="C568" i="2" a="1"/>
  <c r="C568" i="2" s="1"/>
  <c r="C569" i="2" a="1"/>
  <c r="C569" i="2" s="1"/>
  <c r="C570" i="2" a="1"/>
  <c r="C570" i="2" s="1"/>
  <c r="C571" i="2" a="1"/>
  <c r="C571" i="2" s="1"/>
  <c r="C572" i="2" a="1"/>
  <c r="C572" i="2" s="1"/>
  <c r="C573" i="2" a="1"/>
  <c r="C573" i="2" s="1"/>
  <c r="C574" i="2" a="1"/>
  <c r="C574" i="2" s="1"/>
  <c r="C575" i="2" a="1"/>
  <c r="C575" i="2" s="1"/>
  <c r="C576" i="2" a="1"/>
  <c r="C576" i="2" s="1"/>
  <c r="C577" i="2" a="1"/>
  <c r="C577" i="2"/>
  <c r="C578" i="2" a="1"/>
  <c r="C578" i="2" s="1"/>
  <c r="C579" i="2" a="1"/>
  <c r="C579" i="2" s="1"/>
  <c r="C580" i="2" a="1"/>
  <c r="C580" i="2" s="1"/>
  <c r="C581" i="2" a="1"/>
  <c r="C581" i="2" s="1"/>
  <c r="C582" i="2" a="1"/>
  <c r="C582" i="2" s="1"/>
  <c r="C583" i="2" a="1"/>
  <c r="C583" i="2" s="1"/>
  <c r="C584" i="2" a="1"/>
  <c r="C584" i="2"/>
  <c r="C585" i="2" a="1"/>
  <c r="C585" i="2" s="1"/>
  <c r="C586" i="2" a="1"/>
  <c r="C586" i="2" s="1"/>
  <c r="C587" i="2" a="1"/>
  <c r="C587" i="2" s="1"/>
  <c r="C588" i="2" a="1"/>
  <c r="C588" i="2" s="1"/>
  <c r="C589" i="2" a="1"/>
  <c r="C589" i="2"/>
  <c r="C590" i="2" a="1"/>
  <c r="C590" i="2" s="1"/>
  <c r="C591" i="2" a="1"/>
  <c r="C591" i="2" s="1"/>
  <c r="C592" i="2" a="1"/>
  <c r="C592" i="2" s="1"/>
  <c r="C593" i="2" a="1"/>
  <c r="C593" i="2"/>
  <c r="C594" i="2" a="1"/>
  <c r="C594" i="2" s="1"/>
  <c r="C595" i="2" a="1"/>
  <c r="C595" i="2" s="1"/>
  <c r="C596" i="2" a="1"/>
  <c r="C596" i="2" s="1"/>
  <c r="C597" i="2" a="1"/>
  <c r="C597" i="2"/>
  <c r="C598" i="2" a="1"/>
  <c r="C598" i="2" s="1"/>
  <c r="C599" i="2" a="1"/>
  <c r="C599" i="2" s="1"/>
  <c r="C600" i="2" a="1"/>
  <c r="C600" i="2"/>
  <c r="C601" i="2" a="1"/>
  <c r="C601" i="2" s="1"/>
  <c r="C602" i="2" a="1"/>
  <c r="C602" i="2"/>
  <c r="C603" i="2" a="1"/>
  <c r="C603" i="2" s="1"/>
  <c r="C604" i="2" a="1"/>
  <c r="C604" i="2" s="1"/>
  <c r="C605" i="2" a="1"/>
  <c r="C605" i="2" s="1"/>
  <c r="C606" i="2" a="1"/>
  <c r="C606" i="2"/>
  <c r="C607" i="2" a="1"/>
  <c r="C607" i="2" s="1"/>
  <c r="C608" i="2" a="1"/>
  <c r="C608" i="2" s="1"/>
  <c r="C609" i="2" a="1"/>
  <c r="C609" i="2" s="1"/>
  <c r="C610" i="2" a="1"/>
  <c r="C610" i="2" s="1"/>
  <c r="C611" i="2" a="1"/>
  <c r="C611" i="2" s="1"/>
  <c r="C612" i="2" a="1"/>
  <c r="C612" i="2"/>
  <c r="C613" i="2" a="1"/>
  <c r="C613" i="2" s="1"/>
  <c r="C614" i="2" a="1"/>
  <c r="C614" i="2" s="1"/>
  <c r="C615" i="2" a="1"/>
  <c r="C615" i="2" s="1"/>
  <c r="C616" i="2" a="1"/>
  <c r="C616" i="2" s="1"/>
  <c r="C617" i="2" a="1"/>
  <c r="C617" i="2" s="1"/>
  <c r="C618" i="2" a="1"/>
  <c r="C618" i="2" s="1"/>
  <c r="C619" i="2" a="1"/>
  <c r="C619" i="2" s="1"/>
  <c r="C620" i="2" a="1"/>
  <c r="C620" i="2"/>
  <c r="C621" i="2" a="1"/>
  <c r="C621" i="2" s="1"/>
  <c r="C622" i="2" a="1"/>
  <c r="C622" i="2" s="1"/>
  <c r="C623" i="2" a="1"/>
  <c r="C623" i="2" s="1"/>
  <c r="C624" i="2" a="1"/>
  <c r="C624" i="2" s="1"/>
  <c r="C625" i="2" a="1"/>
  <c r="C625" i="2" s="1"/>
  <c r="C626" i="2" a="1"/>
  <c r="C626" i="2" s="1"/>
  <c r="C627" i="2" a="1"/>
  <c r="C627" i="2" s="1"/>
  <c r="C628" i="2" a="1"/>
  <c r="C628" i="2" s="1"/>
  <c r="C629" i="2" a="1"/>
  <c r="C629" i="2" s="1"/>
  <c r="C630" i="2" a="1"/>
  <c r="C630" i="2"/>
  <c r="C631" i="2" a="1"/>
  <c r="C631" i="2" s="1"/>
  <c r="C632" i="2" a="1"/>
  <c r="C632" i="2" s="1"/>
  <c r="C633" i="2" a="1"/>
  <c r="C633" i="2" s="1"/>
  <c r="C634" i="2" a="1"/>
  <c r="C634" i="2" s="1"/>
  <c r="C635" i="2" a="1"/>
  <c r="C635" i="2" s="1"/>
  <c r="C636" i="2" a="1"/>
  <c r="C636" i="2" s="1"/>
  <c r="C637" i="2" a="1"/>
  <c r="C637" i="2" s="1"/>
  <c r="C638" i="2" a="1"/>
  <c r="C638" i="2" s="1"/>
  <c r="C639" i="2" a="1"/>
  <c r="C639" i="2" s="1"/>
  <c r="C640" i="2" a="1"/>
  <c r="C640" i="2" s="1"/>
  <c r="C641" i="2" a="1"/>
  <c r="C641" i="2"/>
  <c r="C642" i="2" a="1"/>
  <c r="C642" i="2" s="1"/>
  <c r="C643" i="2" a="1"/>
  <c r="C643" i="2" s="1"/>
  <c r="C644" i="2" a="1"/>
  <c r="C644" i="2" s="1"/>
  <c r="C645" i="2" a="1"/>
  <c r="C645" i="2" s="1"/>
  <c r="C646" i="2" a="1"/>
  <c r="C646" i="2" s="1"/>
  <c r="C647" i="2" a="1"/>
  <c r="C647" i="2" s="1"/>
  <c r="C648" i="2" a="1"/>
  <c r="C648" i="2"/>
  <c r="C649" i="2" a="1"/>
  <c r="C649" i="2" s="1"/>
  <c r="C650" i="2" a="1"/>
  <c r="C650" i="2" s="1"/>
  <c r="C651" i="2" a="1"/>
  <c r="C651" i="2" s="1"/>
  <c r="C652" i="2" a="1"/>
  <c r="C652" i="2" s="1"/>
  <c r="C653" i="2" a="1"/>
  <c r="C653" i="2" s="1"/>
  <c r="C654" i="2" a="1"/>
  <c r="C654" i="2" s="1"/>
  <c r="C655" i="2" a="1"/>
  <c r="C655" i="2" s="1"/>
  <c r="C656" i="2" a="1"/>
  <c r="C656" i="2" s="1"/>
  <c r="C657" i="2" a="1"/>
  <c r="C657" i="2" s="1"/>
  <c r="C658" i="2" a="1"/>
  <c r="C658" i="2" s="1"/>
  <c r="C659" i="2" a="1"/>
  <c r="C659" i="2" s="1"/>
  <c r="C660" i="2" a="1"/>
  <c r="C660" i="2" s="1"/>
  <c r="C661" i="2" a="1"/>
  <c r="C661" i="2" s="1"/>
  <c r="C662" i="2" a="1"/>
  <c r="C662" i="2" s="1"/>
  <c r="C663" i="2" a="1"/>
  <c r="C663" i="2" s="1"/>
  <c r="C664" i="2" a="1"/>
  <c r="C664" i="2" s="1"/>
  <c r="C665" i="2" a="1"/>
  <c r="C665" i="2"/>
  <c r="C666" i="2" a="1"/>
  <c r="C666" i="2" s="1"/>
  <c r="C667" i="2" a="1"/>
  <c r="C667" i="2"/>
  <c r="C668" i="2" a="1"/>
  <c r="C668" i="2" s="1"/>
  <c r="C669" i="2" a="1"/>
  <c r="C669" i="2"/>
  <c r="C670" i="2" a="1"/>
  <c r="C670" i="2" s="1"/>
  <c r="C671" i="2" a="1"/>
  <c r="C671" i="2" s="1"/>
  <c r="C672" i="2" a="1"/>
  <c r="C672" i="2" s="1"/>
  <c r="C673" i="2" a="1"/>
  <c r="C673" i="2" s="1"/>
  <c r="C674" i="2" a="1"/>
  <c r="C674" i="2" s="1"/>
  <c r="C675" i="2" a="1"/>
  <c r="C675" i="2" s="1"/>
  <c r="C676" i="2" a="1"/>
  <c r="C676" i="2" s="1"/>
  <c r="C677" i="2" a="1"/>
  <c r="C677" i="2" s="1"/>
  <c r="C678" i="2" a="1"/>
  <c r="C678" i="2" s="1"/>
  <c r="C679" i="2" a="1"/>
  <c r="C679" i="2" s="1"/>
  <c r="C680" i="2" a="1"/>
  <c r="C680" i="2" s="1"/>
  <c r="C681" i="2" a="1"/>
  <c r="C681" i="2" s="1"/>
  <c r="C682" i="2" a="1"/>
  <c r="C682" i="2" s="1"/>
  <c r="C683" i="2" a="1"/>
  <c r="C683" i="2" s="1"/>
  <c r="C684" i="2" a="1"/>
  <c r="C684" i="2" s="1"/>
  <c r="C685" i="2" a="1"/>
  <c r="C685" i="2" s="1"/>
  <c r="C686" i="2" a="1"/>
  <c r="C686" i="2" s="1"/>
  <c r="C687" i="2" a="1"/>
  <c r="C687" i="2" s="1"/>
  <c r="C688" i="2" a="1"/>
  <c r="C688" i="2" s="1"/>
  <c r="C689" i="2" a="1"/>
  <c r="C689" i="2" s="1"/>
  <c r="C690" i="2" a="1"/>
  <c r="C690" i="2" s="1"/>
  <c r="C691" i="2" a="1"/>
  <c r="C691" i="2" s="1"/>
  <c r="C692" i="2" a="1"/>
  <c r="C692" i="2" s="1"/>
  <c r="C693" i="2" a="1"/>
  <c r="C693" i="2"/>
  <c r="C694" i="2" a="1"/>
  <c r="C694" i="2" s="1"/>
  <c r="C695" i="2" a="1"/>
  <c r="C695" i="2" s="1"/>
  <c r="C696" i="2" a="1"/>
  <c r="C696" i="2" s="1"/>
  <c r="C697" i="2" a="1"/>
  <c r="C697" i="2"/>
  <c r="C698" i="2" a="1"/>
  <c r="C698" i="2" s="1"/>
  <c r="C699" i="2" a="1"/>
  <c r="C699" i="2"/>
  <c r="C700" i="2" a="1"/>
  <c r="C700" i="2" s="1"/>
  <c r="C701" i="2" a="1"/>
  <c r="C701" i="2"/>
  <c r="C702" i="2" a="1"/>
  <c r="C702" i="2" s="1"/>
  <c r="C703" i="2" a="1"/>
  <c r="C703" i="2" s="1"/>
  <c r="C704" i="2" a="1"/>
  <c r="C704" i="2" s="1"/>
  <c r="C705" i="2" a="1"/>
  <c r="C705" i="2" s="1"/>
  <c r="C706" i="2" a="1"/>
  <c r="C706" i="2" s="1"/>
  <c r="C707" i="2" a="1"/>
  <c r="C707" i="2" s="1"/>
  <c r="C708" i="2" a="1"/>
  <c r="C708" i="2" s="1"/>
  <c r="C709" i="2" a="1"/>
  <c r="C709" i="2" s="1"/>
  <c r="C710" i="2" a="1"/>
  <c r="C710" i="2" s="1"/>
  <c r="C711" i="2" a="1"/>
  <c r="C711" i="2" s="1"/>
  <c r="C712" i="2" a="1"/>
  <c r="C712" i="2" s="1"/>
  <c r="C713" i="2" a="1"/>
  <c r="C713" i="2" s="1"/>
  <c r="C714" i="2" a="1"/>
  <c r="C714" i="2" s="1"/>
  <c r="C715" i="2" a="1"/>
  <c r="C715" i="2" s="1"/>
  <c r="C716" i="2" a="1"/>
  <c r="C716" i="2" s="1"/>
  <c r="C717" i="2" a="1"/>
  <c r="C717" i="2" s="1"/>
  <c r="C718" i="2" a="1"/>
  <c r="C718" i="2" s="1"/>
  <c r="C719" i="2" a="1"/>
  <c r="C719" i="2" s="1"/>
  <c r="C720" i="2" a="1"/>
  <c r="C720" i="2" s="1"/>
  <c r="C721" i="2" a="1"/>
  <c r="C721" i="2" s="1"/>
  <c r="C722" i="2" a="1"/>
  <c r="C722" i="2" s="1"/>
  <c r="C723" i="2" a="1"/>
  <c r="C723" i="2" s="1"/>
  <c r="C724" i="2" a="1"/>
  <c r="C724" i="2" s="1"/>
  <c r="C725" i="2" a="1"/>
  <c r="C725" i="2"/>
  <c r="C726" i="2" a="1"/>
  <c r="C726" i="2" s="1"/>
  <c r="C727" i="2" a="1"/>
  <c r="C727" i="2" s="1"/>
  <c r="C728" i="2" a="1"/>
  <c r="C728" i="2" s="1"/>
  <c r="C729" i="2" a="1"/>
  <c r="C729" i="2"/>
  <c r="C730" i="2" a="1"/>
  <c r="C730" i="2" s="1"/>
  <c r="C731" i="2" a="1"/>
  <c r="C731" i="2"/>
  <c r="C732" i="2" a="1"/>
  <c r="C732" i="2" s="1"/>
  <c r="C733" i="2" a="1"/>
  <c r="C733" i="2"/>
  <c r="C734" i="2" a="1"/>
  <c r="C734" i="2" s="1"/>
  <c r="C735" i="2" a="1"/>
  <c r="C735" i="2" s="1"/>
  <c r="C736" i="2" a="1"/>
  <c r="C736" i="2" s="1"/>
  <c r="C737" i="2" a="1"/>
  <c r="C737" i="2" s="1"/>
  <c r="C738" i="2" a="1"/>
  <c r="C738" i="2" s="1"/>
  <c r="C739" i="2" a="1"/>
  <c r="C739" i="2" s="1"/>
  <c r="C740" i="2" a="1"/>
  <c r="C740" i="2" s="1"/>
  <c r="C741" i="2" a="1"/>
  <c r="C741" i="2" s="1"/>
  <c r="C742" i="2" a="1"/>
  <c r="C742" i="2" s="1"/>
  <c r="C743" i="2" a="1"/>
  <c r="C743" i="2" s="1"/>
  <c r="C744" i="2" a="1"/>
  <c r="C744" i="2" s="1"/>
  <c r="C745" i="2" a="1"/>
  <c r="C745" i="2"/>
  <c r="C746" i="2" a="1"/>
  <c r="C746" i="2" s="1"/>
  <c r="C747" i="2" a="1"/>
  <c r="C747" i="2"/>
  <c r="C748" i="2" a="1"/>
  <c r="C748" i="2" s="1"/>
  <c r="C749" i="2" a="1"/>
  <c r="C749" i="2"/>
  <c r="C750" i="2" a="1"/>
  <c r="C750" i="2" s="1"/>
  <c r="C751" i="2" a="1"/>
  <c r="C751" i="2" s="1"/>
  <c r="C752" i="2" a="1"/>
  <c r="C752" i="2" s="1"/>
  <c r="C753" i="2" a="1"/>
  <c r="C753" i="2" s="1"/>
  <c r="C754" i="2" a="1"/>
  <c r="C754" i="2" s="1"/>
  <c r="C755" i="2" a="1"/>
  <c r="C755" i="2" s="1"/>
  <c r="C756" i="2" a="1"/>
  <c r="C756" i="2" s="1"/>
  <c r="C757" i="2" a="1"/>
  <c r="C757" i="2" s="1"/>
  <c r="C758" i="2" a="1"/>
  <c r="C758" i="2" s="1"/>
  <c r="C759" i="2" a="1"/>
  <c r="C759" i="2" s="1"/>
  <c r="C760" i="2" a="1"/>
  <c r="C760" i="2" s="1"/>
  <c r="C761" i="2" a="1"/>
  <c r="C761" i="2"/>
  <c r="C762" i="2" a="1"/>
  <c r="C762" i="2" s="1"/>
  <c r="C763" i="2" a="1"/>
  <c r="C763" i="2"/>
  <c r="C764" i="2" a="1"/>
  <c r="C764" i="2" s="1"/>
  <c r="C765" i="2" a="1"/>
  <c r="C765" i="2" s="1"/>
  <c r="C766" i="2" a="1"/>
  <c r="C766" i="2" s="1"/>
  <c r="C767" i="2" a="1"/>
  <c r="C767" i="2" s="1"/>
  <c r="C768" i="2" a="1"/>
  <c r="C768" i="2" s="1"/>
  <c r="C769" i="2" a="1"/>
  <c r="C769" i="2" s="1"/>
  <c r="C770" i="2" a="1"/>
  <c r="C770" i="2" s="1"/>
  <c r="C771" i="2" a="1"/>
  <c r="C771" i="2" s="1"/>
  <c r="C772" i="2" a="1"/>
  <c r="C772" i="2" s="1"/>
  <c r="C773" i="2" a="1"/>
  <c r="C773" i="2" s="1"/>
  <c r="C774" i="2" a="1"/>
  <c r="C774" i="2" s="1"/>
  <c r="C775" i="2" a="1"/>
  <c r="C775" i="2" s="1"/>
  <c r="C776" i="2" a="1"/>
  <c r="C776" i="2" s="1"/>
  <c r="C777" i="2" a="1"/>
  <c r="C777" i="2"/>
  <c r="C778" i="2" a="1"/>
  <c r="C778" i="2" s="1"/>
  <c r="C779" i="2" a="1"/>
  <c r="C779" i="2" s="1"/>
  <c r="C780" i="2" a="1"/>
  <c r="C780" i="2" s="1"/>
  <c r="C781" i="2" a="1"/>
  <c r="C781" i="2" s="1"/>
  <c r="C782" i="2" a="1"/>
  <c r="C782" i="2" s="1"/>
  <c r="C783" i="2" a="1"/>
  <c r="C783" i="2" s="1"/>
  <c r="C784" i="2" a="1"/>
  <c r="C784" i="2" s="1"/>
  <c r="C785" i="2" a="1"/>
  <c r="C785" i="2" s="1"/>
  <c r="C786" i="2" a="1"/>
  <c r="C786" i="2" s="1"/>
  <c r="C787" i="2" a="1"/>
  <c r="C787" i="2" s="1"/>
  <c r="C788" i="2" a="1"/>
  <c r="C788" i="2" s="1"/>
  <c r="C789" i="2" a="1"/>
  <c r="C789" i="2" s="1"/>
  <c r="C790" i="2" a="1"/>
  <c r="C790" i="2" s="1"/>
  <c r="C791" i="2" a="1"/>
  <c r="C791" i="2" s="1"/>
  <c r="C792" i="2" a="1"/>
  <c r="C792" i="2" s="1"/>
  <c r="C793" i="2" a="1"/>
  <c r="C793" i="2" s="1"/>
  <c r="C794" i="2" a="1"/>
  <c r="C794" i="2" s="1"/>
  <c r="C795" i="2" a="1"/>
  <c r="C795" i="2" s="1"/>
  <c r="C796" i="2" a="1"/>
  <c r="C796" i="2" s="1"/>
  <c r="C797" i="2" a="1"/>
  <c r="C797" i="2" s="1"/>
  <c r="C798" i="2" a="1"/>
  <c r="C798" i="2" s="1"/>
  <c r="C799" i="2" a="1"/>
  <c r="C799" i="2" s="1"/>
  <c r="C800" i="2" a="1"/>
  <c r="C800" i="2" s="1"/>
  <c r="C801" i="2" a="1"/>
  <c r="C801" i="2" s="1"/>
  <c r="C802" i="2" a="1"/>
  <c r="C802" i="2" s="1"/>
  <c r="C803" i="2" a="1"/>
  <c r="C803" i="2" s="1"/>
  <c r="C804" i="2" a="1"/>
  <c r="C804" i="2" s="1"/>
  <c r="C805" i="2" a="1"/>
  <c r="C805" i="2" s="1"/>
  <c r="C806" i="2" a="1"/>
  <c r="C806" i="2" s="1"/>
  <c r="C807" i="2" a="1"/>
  <c r="C807" i="2" s="1"/>
  <c r="C808" i="2" a="1"/>
  <c r="C808" i="2" s="1"/>
  <c r="C809" i="2" a="1"/>
  <c r="C809" i="2" s="1"/>
  <c r="C810" i="2" a="1"/>
  <c r="C810" i="2" s="1"/>
  <c r="C811" i="2" a="1"/>
  <c r="C811" i="2" s="1"/>
  <c r="C812" i="2" a="1"/>
  <c r="C812" i="2" s="1"/>
  <c r="C813" i="2" a="1"/>
  <c r="C813" i="2" s="1"/>
  <c r="C814" i="2" a="1"/>
  <c r="C814" i="2" s="1"/>
  <c r="C815" i="2" a="1"/>
  <c r="C815" i="2" s="1"/>
  <c r="C816" i="2" a="1"/>
  <c r="C816" i="2" s="1"/>
  <c r="C817" i="2" a="1"/>
  <c r="C817" i="2" s="1"/>
  <c r="C818" i="2" a="1"/>
  <c r="C818" i="2" s="1"/>
  <c r="C819" i="2" a="1"/>
  <c r="C819" i="2" s="1"/>
  <c r="C820" i="2" a="1"/>
  <c r="C820" i="2" s="1"/>
  <c r="C821" i="2" a="1"/>
  <c r="C821" i="2" s="1"/>
  <c r="C822" i="2" a="1"/>
  <c r="C822" i="2" s="1"/>
  <c r="C823" i="2" a="1"/>
  <c r="C823" i="2" s="1"/>
  <c r="C824" i="2" a="1"/>
  <c r="C824" i="2" s="1"/>
  <c r="C825" i="2" a="1"/>
  <c r="C825" i="2" s="1"/>
  <c r="C826" i="2" a="1"/>
  <c r="C826" i="2" s="1"/>
  <c r="C827" i="2" a="1"/>
  <c r="C827" i="2" s="1"/>
  <c r="C828" i="2" a="1"/>
  <c r="C828" i="2" s="1"/>
  <c r="C829" i="2" a="1"/>
  <c r="C829" i="2"/>
  <c r="C830" i="2" a="1"/>
  <c r="C830" i="2" s="1"/>
  <c r="C831" i="2" a="1"/>
  <c r="C831" i="2" s="1"/>
  <c r="C832" i="2" a="1"/>
  <c r="C832" i="2" s="1"/>
  <c r="C833" i="2" a="1"/>
  <c r="C833" i="2" s="1"/>
  <c r="C834" i="2" a="1"/>
  <c r="C834" i="2" s="1"/>
  <c r="C835" i="2" a="1"/>
  <c r="C835" i="2" s="1"/>
  <c r="C836" i="2" a="1"/>
  <c r="C836" i="2" s="1"/>
  <c r="C837" i="2" a="1"/>
  <c r="C837" i="2" s="1"/>
  <c r="C838" i="2" a="1"/>
  <c r="C838" i="2" s="1"/>
  <c r="C839" i="2" a="1"/>
  <c r="C839" i="2" s="1"/>
  <c r="C840" i="2" a="1"/>
  <c r="C840" i="2" s="1"/>
  <c r="C841" i="2" a="1"/>
  <c r="C841" i="2" s="1"/>
  <c r="C842" i="2" a="1"/>
  <c r="C842" i="2" s="1"/>
  <c r="C843" i="2" a="1"/>
  <c r="C843" i="2"/>
  <c r="C844" i="2" a="1"/>
  <c r="C844" i="2" s="1"/>
  <c r="C845" i="2" a="1"/>
  <c r="C845" i="2"/>
  <c r="C846" i="2" a="1"/>
  <c r="C846" i="2" s="1"/>
  <c r="C847" i="2" a="1"/>
  <c r="C847" i="2" s="1"/>
  <c r="C848" i="2" a="1"/>
  <c r="C848" i="2" s="1"/>
  <c r="C849" i="2" a="1"/>
  <c r="C849" i="2" s="1"/>
  <c r="C850" i="2" a="1"/>
  <c r="C850" i="2" s="1"/>
  <c r="C851" i="2" a="1"/>
  <c r="C851" i="2" s="1"/>
  <c r="C852" i="2" a="1"/>
  <c r="C852" i="2" s="1"/>
  <c r="C853" i="2" a="1"/>
  <c r="C853" i="2" s="1"/>
  <c r="C854" i="2" a="1"/>
  <c r="C854" i="2" s="1"/>
  <c r="C855" i="2" a="1"/>
  <c r="C855" i="2" s="1"/>
  <c r="C856" i="2" a="1"/>
  <c r="C856" i="2" s="1"/>
  <c r="C857" i="2" a="1"/>
  <c r="C857" i="2"/>
  <c r="C858" i="2" a="1"/>
  <c r="C858" i="2" s="1"/>
  <c r="C859" i="2" a="1"/>
  <c r="C859" i="2"/>
  <c r="C860" i="2" a="1"/>
  <c r="C860" i="2" s="1"/>
  <c r="C861" i="2" a="1"/>
  <c r="C861" i="2"/>
  <c r="C862" i="2" a="1"/>
  <c r="C862" i="2" s="1"/>
  <c r="C863" i="2" a="1"/>
  <c r="C863" i="2" s="1"/>
  <c r="C864" i="2" a="1"/>
  <c r="C864" i="2" s="1"/>
  <c r="C865" i="2" a="1"/>
  <c r="C865" i="2" s="1"/>
  <c r="C866" i="2" a="1"/>
  <c r="C866" i="2" s="1"/>
  <c r="C867" i="2" a="1"/>
  <c r="C867" i="2" s="1"/>
  <c r="C868" i="2" a="1"/>
  <c r="C868" i="2" s="1"/>
  <c r="C869" i="2" a="1"/>
  <c r="C869" i="2" s="1"/>
  <c r="C870" i="2" a="1"/>
  <c r="C870" i="2" s="1"/>
  <c r="C871" i="2" a="1"/>
  <c r="C871" i="2" s="1"/>
  <c r="C872" i="2" a="1"/>
  <c r="C872" i="2" s="1"/>
  <c r="C873" i="2" a="1"/>
  <c r="C873" i="2" s="1"/>
  <c r="C874" i="2" a="1"/>
  <c r="C874" i="2" s="1"/>
  <c r="C875" i="2" a="1"/>
  <c r="C875" i="2" s="1"/>
  <c r="C876" i="2" a="1"/>
  <c r="C876" i="2"/>
  <c r="C877" i="2" a="1"/>
  <c r="C877" i="2"/>
  <c r="C878" i="2" a="1"/>
  <c r="C878" i="2" s="1"/>
  <c r="C879" i="2" a="1"/>
  <c r="C879" i="2"/>
  <c r="C880" i="2" a="1"/>
  <c r="C880" i="2" s="1"/>
  <c r="C881" i="2" a="1"/>
  <c r="C881" i="2" s="1"/>
  <c r="C882" i="2" a="1"/>
  <c r="C882" i="2" s="1"/>
  <c r="C883" i="2" a="1"/>
  <c r="C883" i="2" s="1"/>
  <c r="C884" i="2" a="1"/>
  <c r="C884" i="2" s="1"/>
  <c r="C885" i="2" a="1"/>
  <c r="C885" i="2" s="1"/>
  <c r="C886" i="2" a="1"/>
  <c r="C886" i="2" s="1"/>
  <c r="C887" i="2" a="1"/>
  <c r="C887" i="2" s="1"/>
  <c r="C888" i="2" a="1"/>
  <c r="C888" i="2" s="1"/>
  <c r="C889" i="2" a="1"/>
  <c r="C889" i="2"/>
  <c r="C890" i="2" a="1"/>
  <c r="C890" i="2" s="1"/>
  <c r="C891" i="2" a="1"/>
  <c r="C891" i="2" s="1"/>
  <c r="C892" i="2" a="1"/>
  <c r="C892" i="2" s="1"/>
  <c r="C893" i="2" a="1"/>
  <c r="C893" i="2"/>
  <c r="C894" i="2" a="1"/>
  <c r="C894" i="2"/>
  <c r="C895" i="2" a="1"/>
  <c r="C895" i="2" s="1"/>
  <c r="C896" i="2" a="1"/>
  <c r="C896" i="2" s="1"/>
  <c r="C897" i="2" a="1"/>
  <c r="C897" i="2" s="1"/>
  <c r="C898" i="2" a="1"/>
  <c r="C898" i="2"/>
  <c r="C899" i="2" a="1"/>
  <c r="C899" i="2" s="1"/>
  <c r="C900" i="2" a="1"/>
  <c r="C900" i="2" s="1"/>
  <c r="C901" i="2" a="1"/>
  <c r="C901" i="2" s="1"/>
  <c r="C902" i="2" a="1"/>
  <c r="C902" i="2" s="1"/>
  <c r="C903" i="2" a="1"/>
  <c r="C903" i="2" s="1"/>
  <c r="C904" i="2" a="1"/>
  <c r="C904" i="2" s="1"/>
  <c r="C905" i="2" a="1"/>
  <c r="C905" i="2"/>
  <c r="C906" i="2" a="1"/>
  <c r="C906" i="2" s="1"/>
  <c r="C907" i="2" a="1"/>
  <c r="C907" i="2" s="1"/>
  <c r="C908" i="2" a="1"/>
  <c r="C908" i="2" s="1"/>
  <c r="C909" i="2" a="1"/>
  <c r="C909" i="2"/>
  <c r="C910" i="2" a="1"/>
  <c r="C910" i="2"/>
  <c r="C911" i="2" a="1"/>
  <c r="C911" i="2" s="1"/>
  <c r="C912" i="2" a="1"/>
  <c r="C912" i="2" s="1"/>
  <c r="C913" i="2" a="1"/>
  <c r="C913" i="2" s="1"/>
  <c r="C914" i="2" a="1"/>
  <c r="C914" i="2"/>
  <c r="C915" i="2" a="1"/>
  <c r="C915" i="2" s="1"/>
  <c r="C916" i="2" a="1"/>
  <c r="C916" i="2" s="1"/>
  <c r="C917" i="2" a="1"/>
  <c r="C917" i="2" s="1"/>
  <c r="C918" i="2" a="1"/>
  <c r="C918" i="2"/>
  <c r="C919" i="2" a="1"/>
  <c r="C919" i="2" s="1"/>
  <c r="C920" i="2" a="1"/>
  <c r="C920" i="2" s="1"/>
  <c r="C921" i="2" a="1"/>
  <c r="C921" i="2" s="1"/>
  <c r="C922" i="2" a="1"/>
  <c r="C922" i="2"/>
  <c r="C923" i="2" a="1"/>
  <c r="C923" i="2" s="1"/>
  <c r="C924" i="2" a="1"/>
  <c r="C924" i="2" s="1"/>
  <c r="C925" i="2" a="1"/>
  <c r="C925" i="2" s="1"/>
  <c r="C926" i="2" a="1"/>
  <c r="C926" i="2" s="1"/>
  <c r="C927" i="2" a="1"/>
  <c r="C927" i="2" s="1"/>
  <c r="C928" i="2" a="1"/>
  <c r="C928" i="2" s="1"/>
  <c r="C929" i="2" a="1"/>
  <c r="C929" i="2" s="1"/>
  <c r="C930" i="2" a="1"/>
  <c r="C930" i="2" s="1"/>
  <c r="C931" i="2" a="1"/>
  <c r="C931" i="2" s="1"/>
  <c r="C932" i="2" a="1"/>
  <c r="C932" i="2" s="1"/>
  <c r="C933" i="2" a="1"/>
  <c r="C933" i="2" s="1"/>
  <c r="C934" i="2" a="1"/>
  <c r="C934" i="2" s="1"/>
  <c r="C935" i="2" a="1"/>
  <c r="C935" i="2" s="1"/>
  <c r="C936" i="2" a="1"/>
  <c r="C936" i="2" s="1"/>
  <c r="C937" i="2" a="1"/>
  <c r="C937" i="2" s="1"/>
  <c r="C938" i="2" a="1"/>
  <c r="C938" i="2" s="1"/>
  <c r="C939" i="2" a="1"/>
  <c r="C939" i="2" s="1"/>
  <c r="C940" i="2" a="1"/>
  <c r="C940" i="2" s="1"/>
  <c r="C941" i="2" a="1"/>
  <c r="C941" i="2" s="1"/>
  <c r="C942" i="2" a="1"/>
  <c r="C942" i="2"/>
  <c r="C943" i="2" a="1"/>
  <c r="C943" i="2" s="1"/>
  <c r="C944" i="2" a="1"/>
  <c r="C944" i="2" s="1"/>
  <c r="C945" i="2" a="1"/>
  <c r="C945" i="2" s="1"/>
  <c r="C946" i="2" a="1"/>
  <c r="C946" i="2"/>
  <c r="C947" i="2" a="1"/>
  <c r="C947" i="2" s="1"/>
  <c r="C948" i="2" a="1"/>
  <c r="C948" i="2" s="1"/>
  <c r="C949" i="2" a="1"/>
  <c r="C949" i="2" s="1"/>
  <c r="C950" i="2" a="1"/>
  <c r="C950" i="2"/>
  <c r="C951" i="2" a="1"/>
  <c r="C951" i="2" s="1"/>
  <c r="C952" i="2" a="1"/>
  <c r="C952" i="2" s="1"/>
  <c r="C953" i="2" a="1"/>
  <c r="C953" i="2" s="1"/>
  <c r="C954" i="2" a="1"/>
  <c r="C954" i="2"/>
  <c r="C955" i="2" a="1"/>
  <c r="C955" i="2" s="1"/>
  <c r="C956" i="2" a="1"/>
  <c r="C956" i="2" s="1"/>
  <c r="C957" i="2" a="1"/>
  <c r="C957" i="2" s="1"/>
  <c r="C958" i="2" a="1"/>
  <c r="C958" i="2" s="1"/>
  <c r="C959" i="2" a="1"/>
  <c r="C959" i="2" s="1"/>
  <c r="C960" i="2" a="1"/>
  <c r="C960" i="2" s="1"/>
  <c r="C961" i="2" a="1"/>
  <c r="C961" i="2" s="1"/>
  <c r="C962" i="2" a="1"/>
  <c r="C962" i="2" s="1"/>
  <c r="C963" i="2" a="1"/>
  <c r="C963" i="2" s="1"/>
  <c r="C964" i="2" a="1"/>
  <c r="C964" i="2" s="1"/>
  <c r="C965" i="2" a="1"/>
  <c r="C965" i="2" s="1"/>
  <c r="C966" i="2" a="1"/>
  <c r="C966" i="2" s="1"/>
  <c r="C967" i="2" a="1"/>
  <c r="C967" i="2" s="1"/>
  <c r="C968" i="2" a="1"/>
  <c r="C968" i="2" s="1"/>
  <c r="C969" i="2" a="1"/>
  <c r="C969" i="2" s="1"/>
  <c r="C970" i="2" a="1"/>
  <c r="C970" i="2" s="1"/>
  <c r="C971" i="2" a="1"/>
  <c r="C971" i="2" s="1"/>
  <c r="C972" i="2" a="1"/>
  <c r="C972" i="2" s="1"/>
  <c r="C973" i="2" a="1"/>
  <c r="C973" i="2" s="1"/>
  <c r="C974" i="2" a="1"/>
  <c r="C974" i="2"/>
  <c r="C975" i="2" a="1"/>
  <c r="C975" i="2" s="1"/>
  <c r="C976" i="2" a="1"/>
  <c r="C976" i="2" s="1"/>
  <c r="C977" i="2" a="1"/>
  <c r="C977" i="2" s="1"/>
  <c r="C978" i="2" a="1"/>
  <c r="C978" i="2"/>
  <c r="C979" i="2" a="1"/>
  <c r="C979" i="2" s="1"/>
  <c r="C980" i="2" a="1"/>
  <c r="C980" i="2" s="1"/>
  <c r="C981" i="2" a="1"/>
  <c r="C981" i="2" s="1"/>
  <c r="C982" i="2" a="1"/>
  <c r="C982" i="2"/>
  <c r="C983" i="2" a="1"/>
  <c r="C983" i="2" s="1"/>
  <c r="C984" i="2" a="1"/>
  <c r="C984" i="2" s="1"/>
  <c r="C985" i="2" a="1"/>
  <c r="C985" i="2" s="1"/>
  <c r="C986" i="2" a="1"/>
  <c r="C986" i="2"/>
  <c r="C987" i="2" a="1"/>
  <c r="C987" i="2" s="1"/>
  <c r="C988" i="2" a="1"/>
  <c r="C988" i="2" s="1"/>
  <c r="C989" i="2" a="1"/>
  <c r="C989" i="2" s="1"/>
  <c r="C990" i="2" a="1"/>
  <c r="C990" i="2" s="1"/>
  <c r="C991" i="2" a="1"/>
  <c r="C991" i="2" s="1"/>
  <c r="C992" i="2" a="1"/>
  <c r="C992" i="2" s="1"/>
  <c r="C993" i="2" a="1"/>
  <c r="C993" i="2" s="1"/>
  <c r="C994" i="2" a="1"/>
  <c r="C994" i="2" s="1"/>
  <c r="C995" i="2" a="1"/>
  <c r="C995" i="2" s="1"/>
  <c r="C996" i="2" a="1"/>
  <c r="C996" i="2" s="1"/>
  <c r="C997" i="2" a="1"/>
  <c r="C997" i="2" s="1"/>
  <c r="G2"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AT44" i="1" a="1"/>
  <c r="AT44" i="1" s="1"/>
  <c r="BS12" i="1" l="1"/>
  <c r="BS13" i="1"/>
  <c r="AT42" i="1" l="1" a="1"/>
  <c r="AT42" i="1" s="1"/>
  <c r="B39" i="1" a="1"/>
  <c r="B39" i="1" s="1"/>
  <c r="P22" i="1" s="1"/>
  <c r="A49" i="1" a="1"/>
  <c r="A49" i="1" s="1"/>
  <c r="P19" i="1" s="1"/>
  <c r="AU2" i="1"/>
  <c r="AV2" i="1" s="1"/>
  <c r="AS3" i="1" s="1" a="1"/>
  <c r="AS3" i="1" s="1"/>
  <c r="AP2" i="1" a="1"/>
  <c r="AP2" i="1" s="1"/>
  <c r="AZ18" i="1" a="1"/>
  <c r="AZ18" i="1" s="1"/>
  <c r="Q22" i="1" l="1"/>
  <c r="Q19" i="1"/>
  <c r="AO36" i="1"/>
  <c r="AO28" i="1"/>
  <c r="AO20" i="1"/>
  <c r="AO12" i="1"/>
  <c r="AO4" i="1"/>
  <c r="AO35" i="1"/>
  <c r="AO27" i="1"/>
  <c r="AO19" i="1"/>
  <c r="AO11" i="1"/>
  <c r="AO34" i="1"/>
  <c r="AO26" i="1"/>
  <c r="AO18" i="1"/>
  <c r="AO10" i="1"/>
  <c r="AO33" i="1"/>
  <c r="AO25" i="1"/>
  <c r="AO17" i="1"/>
  <c r="AO9" i="1"/>
  <c r="AO32" i="1"/>
  <c r="AO16" i="1"/>
  <c r="AO7" i="1"/>
  <c r="AO23" i="1"/>
  <c r="AO38" i="1"/>
  <c r="AO6" i="1"/>
  <c r="AO24" i="1"/>
  <c r="AO8" i="1"/>
  <c r="AO31" i="1"/>
  <c r="AO15" i="1"/>
  <c r="AO30" i="1"/>
  <c r="AO22" i="1"/>
  <c r="AO14" i="1"/>
  <c r="AO37" i="1"/>
  <c r="AO29" i="1"/>
  <c r="AO21" i="1"/>
  <c r="AO13" i="1"/>
  <c r="AO5" i="1"/>
  <c r="AO3" i="1"/>
  <c r="E31" i="1" l="1" a="1"/>
  <c r="E31" i="1" s="1"/>
  <c r="E14" i="1" a="1"/>
  <c r="E14" i="1" s="1"/>
  <c r="B21" i="1" a="1"/>
  <c r="B21" i="1" s="1"/>
  <c r="AD11" i="1"/>
  <c r="AE9" i="1"/>
  <c r="AC10" i="1"/>
  <c r="P6" i="1"/>
  <c r="AE11" i="1"/>
  <c r="AC11" i="1"/>
  <c r="P13" i="1"/>
  <c r="P9" i="1"/>
  <c r="AD10" i="1"/>
  <c r="AC9" i="1"/>
  <c r="AE10" i="1"/>
  <c r="AD9" i="1"/>
  <c r="AH20" i="1" l="1"/>
  <c r="AG20" i="1"/>
  <c r="G15" i="1"/>
  <c r="G32" i="1"/>
  <c r="A28" i="1"/>
  <c r="A27" i="1"/>
  <c r="A26" i="1"/>
  <c r="A25" i="1"/>
  <c r="A24" i="1"/>
  <c r="A31" i="1"/>
  <c r="A23" i="1"/>
  <c r="A30" i="1"/>
  <c r="A22" i="1"/>
  <c r="A29" i="1"/>
  <c r="B33" i="1"/>
  <c r="AG21" i="1" l="1"/>
  <c r="Q16" i="1"/>
  <c r="E32" i="1"/>
  <c r="E15" i="1"/>
  <c r="A33" i="1"/>
  <c r="P16"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202F029-C90A-4A67-B7D0-92AB46B7EB57}" keepAlive="1" name="Query - Dataset" description="Connection to the 'Dataset' query in the workbook." type="5" refreshedVersion="7" background="1" saveData="1">
    <dbPr connection="Provider=Microsoft.Mashup.OleDb.1;Data Source=$Workbook$;Location=Dataset;Extended Properties=&quot;&quot;" command="SELECT * FROM [Dataset]"/>
  </connection>
  <connection id="2" xr16:uid="{5CD5588A-4BD4-47E1-8283-CF8944876892}" keepAlive="1" name="Query - Dataset (2)" description="Connection to the 'Dataset (2)' query in the workbook." type="5" refreshedVersion="7" background="1" saveData="1">
    <dbPr connection="Provider=Microsoft.Mashup.OleDb.1;Data Source=$Workbook$;Location=&quot;Dataset (2)&quot;;Extended Properties=&quot;&quot;" command="SELECT * FROM [Dataset (2)]"/>
  </connection>
  <connection id="3" xr16:uid="{D9BD99F9-28DB-4093-A91E-F479D744A131}"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 xr16:uid="{3DC57D2F-9A49-4C77-9A11-E8BD05C3B613}" name="WorksheetConnection_Covid_data_Analysis.xlsx!Dataset" type="102" refreshedVersion="7" minRefreshableVersion="5">
    <extLst>
      <ext xmlns:x15="http://schemas.microsoft.com/office/spreadsheetml/2010/11/main" uri="{DE250136-89BD-433C-8126-D09CA5730AF9}">
        <x15:connection id="Dataset">
          <x15:rangePr sourceName="_xlcn.WorksheetConnection_Covid_data_Analysis.xlsxDataset"/>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<sst xmlns="http://schemas.openxmlformats.org/spreadsheetml/2006/main" count="4222" uniqueCount="125">
  <si>
    <t>Gender</t>
  </si>
  <si>
    <t>Age</t>
  </si>
  <si>
    <t>NS1</t>
  </si>
  <si>
    <t>IgG</t>
  </si>
  <si>
    <t>IgM</t>
  </si>
  <si>
    <t>Area</t>
  </si>
  <si>
    <t>AreaType</t>
  </si>
  <si>
    <t>HouseType</t>
  </si>
  <si>
    <t>Outcome</t>
  </si>
  <si>
    <t>Female</t>
  </si>
  <si>
    <t>Mirpur</t>
  </si>
  <si>
    <t>Undeveloped</t>
  </si>
  <si>
    <t>Building</t>
  </si>
  <si>
    <t>Male</t>
  </si>
  <si>
    <t>Chawkbazar</t>
  </si>
  <si>
    <t>Developed</t>
  </si>
  <si>
    <t>Paltan</t>
  </si>
  <si>
    <t>Other</t>
  </si>
  <si>
    <t>Motijheel</t>
  </si>
  <si>
    <t>Gendaria</t>
  </si>
  <si>
    <t>Dhanmondi</t>
  </si>
  <si>
    <t>New Market</t>
  </si>
  <si>
    <t>Tinshed</t>
  </si>
  <si>
    <t>Sher-e-Bangla Nagar</t>
  </si>
  <si>
    <t>Kafrul</t>
  </si>
  <si>
    <t>Pallabi</t>
  </si>
  <si>
    <t>Mohammadpur</t>
  </si>
  <si>
    <t>Shahbagh</t>
  </si>
  <si>
    <t>Shyampur</t>
  </si>
  <si>
    <t>Kalabagan</t>
  </si>
  <si>
    <t>Bosila</t>
  </si>
  <si>
    <t>Jatrabari</t>
  </si>
  <si>
    <t>Adabor</t>
  </si>
  <si>
    <t>Kamrangirchar</t>
  </si>
  <si>
    <t>Biman Bandar</t>
  </si>
  <si>
    <t>Ramna</t>
  </si>
  <si>
    <t>Badda</t>
  </si>
  <si>
    <t>Bangshal</t>
  </si>
  <si>
    <t>Sabujbagh</t>
  </si>
  <si>
    <t>Hazaribagh</t>
  </si>
  <si>
    <t>Sutrapur</t>
  </si>
  <si>
    <t>Lalbagh</t>
  </si>
  <si>
    <t>Demra</t>
  </si>
  <si>
    <t>Banasree</t>
  </si>
  <si>
    <t>Cantonment</t>
  </si>
  <si>
    <t>Keraniganj</t>
  </si>
  <si>
    <t>Tejgaon</t>
  </si>
  <si>
    <t>Khilkhet</t>
  </si>
  <si>
    <t>Kadamtali</t>
  </si>
  <si>
    <t>Gulshan</t>
  </si>
  <si>
    <t>Rampura</t>
  </si>
  <si>
    <t>Khilgaon</t>
  </si>
  <si>
    <t>Age Group</t>
  </si>
  <si>
    <t>Total Dengue Cases</t>
  </si>
  <si>
    <t>Most Affected Age Group</t>
  </si>
  <si>
    <t>Percentage among Total</t>
  </si>
  <si>
    <t>Total Respondents</t>
  </si>
  <si>
    <t>Most Dangerous Area</t>
  </si>
  <si>
    <t>Percentage of Dengue Patients</t>
  </si>
  <si>
    <t>Most Risky House Type</t>
  </si>
  <si>
    <t>Percentage of Dengue Positive</t>
  </si>
  <si>
    <t>Total Dengue Positive</t>
  </si>
  <si>
    <t>Most Dengue Positive by Gender and Age Goup</t>
  </si>
  <si>
    <t>Most Positive Dengue cases by Area Type and House Type</t>
  </si>
  <si>
    <t>KPIs</t>
  </si>
  <si>
    <t>Most High Risk Area</t>
  </si>
  <si>
    <t>Tables and Charts</t>
  </si>
  <si>
    <t>Risk Analysis</t>
  </si>
  <si>
    <t>NS1_Positivity_Rate</t>
  </si>
  <si>
    <t>IgG_Positivity_Rate</t>
  </si>
  <si>
    <t>IgM_Positivity_Rate</t>
  </si>
  <si>
    <t>Confirmed_NS1_Positives</t>
  </si>
  <si>
    <t>Confirmed_IgG_Positives</t>
  </si>
  <si>
    <t>Confirmed_IgM_Positives</t>
  </si>
  <si>
    <t>Tests</t>
  </si>
  <si>
    <t>Positivity Rate</t>
  </si>
  <si>
    <t>Confirmed Positive Cases</t>
  </si>
  <si>
    <t>NS1_Effectiveness</t>
  </si>
  <si>
    <t>IgG_Effectiveness</t>
  </si>
  <si>
    <t>IgM_Effectiveness</t>
  </si>
  <si>
    <t>Effectiveness</t>
  </si>
  <si>
    <t>Total Patients</t>
  </si>
  <si>
    <t>Dengue Positive(%)</t>
  </si>
  <si>
    <t>Dengue Positive Case Rate</t>
  </si>
  <si>
    <t>Home Page</t>
  </si>
  <si>
    <t>Dengue Positive Count</t>
  </si>
  <si>
    <t>11-18</t>
  </si>
  <si>
    <t>19-30</t>
  </si>
  <si>
    <t>31-60</t>
  </si>
  <si>
    <t>above 60</t>
  </si>
  <si>
    <t>Most effective test</t>
  </si>
  <si>
    <t>Most effective tests</t>
  </si>
  <si>
    <t>0-10</t>
  </si>
  <si>
    <t>Sum of Outcome</t>
  </si>
  <si>
    <t>Positive Cases</t>
  </si>
  <si>
    <t>Average of Age</t>
  </si>
  <si>
    <t>Dengue Case(Positive)</t>
  </si>
  <si>
    <t>Total</t>
  </si>
  <si>
    <t>Most Affected Area type</t>
  </si>
  <si>
    <t>NS1 and IgG has very strong relationship with Outcome. That means if a person is testes IgG and NS1 positive s/he might have dengue positive.</t>
  </si>
  <si>
    <t>Also IgG has full correlation with Outcome. Means if a person is tested IgG s/he might have Dengue positive</t>
  </si>
  <si>
    <t>&gt;0.75</t>
  </si>
  <si>
    <t>&lt;0.25</t>
  </si>
  <si>
    <t>Risk Type</t>
  </si>
  <si>
    <t>No Risk</t>
  </si>
  <si>
    <t>Low Risk</t>
  </si>
  <si>
    <t>High Risk</t>
  </si>
  <si>
    <t>Count of Outcome</t>
  </si>
  <si>
    <t>Dengue Negative</t>
  </si>
  <si>
    <t>From Domain Knowledge</t>
  </si>
  <si>
    <t>Mean</t>
  </si>
  <si>
    <t>Standard Error</t>
  </si>
  <si>
    <t>Median</t>
  </si>
  <si>
    <t>Mode</t>
  </si>
  <si>
    <t>Standard Deviation</t>
  </si>
  <si>
    <t>Sample Variance</t>
  </si>
  <si>
    <t>Kurtosis</t>
  </si>
  <si>
    <t>Skewness</t>
  </si>
  <si>
    <t>Range</t>
  </si>
  <si>
    <t>Minimum</t>
  </si>
  <si>
    <t>Maximum</t>
  </si>
  <si>
    <t>Sum</t>
  </si>
  <si>
    <t>Count</t>
  </si>
  <si>
    <t>No. Of Maximum Patients with RiskType</t>
  </si>
  <si>
    <t>Statistical 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</si>
</sst>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0.0%;\-0.0%;0.0%"/>
  </numFmts>
  <fonts count="12" x14ac:knownFonts="1">
    <font>
      <sz val="11"/>
      <color theme="1"/>
      <name val="Calibri"/>
      <family val="2"/>
      <scheme val="minor"/>
    </font>
    <font>
      <sz val="11"/>
      <color theme="1"/>
      <name val="Calibri"/>
      <family val="2"/>
      <scheme val="minor"/>
    </font>
    <font>
      <sz val="26"/>
      <color theme="1"/>
      <name val="Calibri"/>
      <family val="2"/>
      <scheme val="minor"/>
    </font>
    <font>
      <sz val="36"/>
      <color theme="1"/>
      <name val="Calibri"/>
      <family val="2"/>
      <scheme val="minor"/>
    </font>
    <font>
      <sz val="8"/>
      <name val="Calibri"/>
      <family val="2"/>
      <scheme val="minor"/>
    </font>
    <font>
      <i/>
      <sz val="11"/>
      <color theme="8" tint="-0.249977111117893"/>
      <name val="Calibri"/>
      <family val="2"/>
      <scheme val="minor"/>
    </font>
    <font>
      <sz val="11"/>
      <color theme="8" tint="-0.249977111117893"/>
      <name val="Calibri"/>
      <family val="2"/>
      <scheme val="minor"/>
    </font>
    <font>
      <b/>
      <sz val="11"/>
      <color rgb="FF000000"/>
      <name val="Calibri"/>
      <family val="2"/>
    </font>
    <font>
      <sz val="11"/>
      <color rgb="FF000000"/>
      <name val="Calibri"/>
      <family val="2"/>
    </font>
    <font>
      <sz val="20"/>
      <color theme="2" tint="-0.89999084444715716"/>
      <name val="Calibri"/>
      <family val="2"/>
      <scheme val="minor"/>
    </font>
    <font>
      <i/>
      <sz val="11"/>
      <color theme="1"/>
      <name val="Calibri"/>
      <family val="2"/>
      <scheme val="minor"/>
    </font>
    <font>
      <sz val="72"/>
      <color theme="7" tint="-0.249977111117893"/>
      <name val="Calibri"/>
      <family val="2"/>
      <scheme val="minor"/>
    </font>
  </fonts>
  <fills count="7">
    <fill>
      <patternFill patternType="none"/>
    </fill>
    <fill>
      <patternFill patternType="gray125"/>
    </fill>
    <fill>
      <patternFill patternType="solid">
        <fgColor theme="7" tint="0.59999389629810485"/>
        <bgColor indexed="64"/>
      </patternFill>
    </fill>
    <fill>
      <patternFill patternType="solid">
        <fgColor theme="5" tint="-0.249977111117893"/>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7"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medium">
        <color indexed="64"/>
      </bottom>
      <diagonal/>
    </border>
    <border>
      <left/>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s>
  <cellStyleXfs count="2">
    <xf numFmtId="0" fontId="0" fillId="0" borderId="0"/>
    <xf numFmtId="9" fontId="1" fillId="0" borderId="0" applyFont="0" applyFill="0" applyBorder="0" applyAlignment="0" applyProtection="0"/>
  </cellStyleXfs>
  <cellXfs count="70">
    <xf numFmtId="0" fontId="0" fillId="0" borderId="0" xfId="0"/>
    <xf numFmtId="0" fontId="0" fillId="0" borderId="0" xfId="0" applyNumberFormat="1"/>
    <xf numFmtId="0" fontId="0" fillId="4" borderId="0" xfId="0" applyFill="1"/>
    <xf numFmtId="0" fontId="0" fillId="4" borderId="0" xfId="0" applyFill="1" applyAlignment="1">
      <alignment horizontal="center" vertical="center"/>
    </xf>
    <xf numFmtId="0" fontId="0" fillId="0" borderId="0" xfId="0" applyFill="1"/>
    <xf numFmtId="0" fontId="0" fillId="0" borderId="0" xfId="0" applyFill="1" applyAlignment="1">
      <alignment vertical="center"/>
    </xf>
    <xf numFmtId="0" fontId="3" fillId="0" borderId="0" xfId="0" applyFont="1" applyFill="1" applyAlignment="1">
      <alignment vertical="center"/>
    </xf>
    <xf numFmtId="0" fontId="0" fillId="5" borderId="0" xfId="0" applyFill="1"/>
    <xf numFmtId="165" fontId="0" fillId="5" borderId="0" xfId="0" applyNumberFormat="1" applyFill="1"/>
    <xf numFmtId="1" fontId="0" fillId="5" borderId="0" xfId="0" applyNumberFormat="1" applyFill="1"/>
    <xf numFmtId="0" fontId="0" fillId="5" borderId="0" xfId="0" applyFill="1" applyAlignment="1">
      <alignment horizontal="center" vertical="center"/>
    </xf>
    <xf numFmtId="0" fontId="0" fillId="5" borderId="0" xfId="0" applyFill="1" applyAlignment="1">
      <alignment horizontal="center"/>
    </xf>
    <xf numFmtId="164" fontId="0" fillId="5" borderId="0" xfId="1" applyNumberFormat="1" applyFont="1" applyFill="1" applyAlignment="1">
      <alignment horizontal="center"/>
    </xf>
    <xf numFmtId="164" fontId="0" fillId="5" borderId="0" xfId="1" applyNumberFormat="1" applyFont="1" applyFill="1"/>
    <xf numFmtId="0" fontId="0" fillId="2" borderId="1" xfId="0" applyFill="1" applyBorder="1" applyAlignment="1">
      <alignment horizontal="center" vertical="center"/>
    </xf>
    <xf numFmtId="0" fontId="0" fillId="2" borderId="1" xfId="0" applyFill="1" applyBorder="1"/>
    <xf numFmtId="164" fontId="0" fillId="2" borderId="1" xfId="0" applyNumberFormat="1" applyFill="1" applyBorder="1" applyAlignment="1">
      <alignment horizontal="center" vertical="center"/>
    </xf>
    <xf numFmtId="0" fontId="0" fillId="2" borderId="1" xfId="0" applyNumberFormat="1" applyFill="1" applyBorder="1" applyAlignment="1">
      <alignment horizontal="center" vertical="center"/>
    </xf>
    <xf numFmtId="164" fontId="0" fillId="2" borderId="1" xfId="1" applyNumberFormat="1" applyFont="1" applyFill="1" applyBorder="1"/>
    <xf numFmtId="164" fontId="0" fillId="2" borderId="1" xfId="0" applyNumberFormat="1" applyFill="1" applyBorder="1"/>
    <xf numFmtId="0" fontId="0" fillId="2" borderId="1" xfId="0" applyFill="1" applyBorder="1" applyAlignment="1">
      <alignment horizontal="center"/>
    </xf>
    <xf numFmtId="164" fontId="0" fillId="2" borderId="1" xfId="1" applyNumberFormat="1" applyFont="1" applyFill="1" applyBorder="1" applyAlignment="1">
      <alignment horizontal="center"/>
    </xf>
    <xf numFmtId="164" fontId="0" fillId="2" borderId="1" xfId="1" applyNumberFormat="1" applyFont="1" applyFill="1" applyBorder="1" applyAlignment="1">
      <alignment horizontal="center" vertical="center"/>
    </xf>
    <xf numFmtId="1" fontId="0" fillId="2" borderId="1" xfId="0" applyNumberFormat="1" applyFill="1" applyBorder="1" applyAlignment="1">
      <alignment horizontal="center" vertical="center"/>
    </xf>
    <xf numFmtId="0" fontId="0" fillId="0" borderId="1" xfId="0" applyFill="1" applyBorder="1"/>
    <xf numFmtId="0" fontId="0" fillId="2" borderId="2" xfId="0" applyFill="1" applyBorder="1"/>
    <xf numFmtId="0" fontId="0" fillId="0" borderId="0" xfId="0" applyFill="1" applyBorder="1"/>
    <xf numFmtId="164" fontId="0" fillId="0" borderId="0" xfId="1" applyNumberFormat="1" applyFont="1" applyFill="1" applyBorder="1"/>
    <xf numFmtId="1" fontId="0" fillId="0" borderId="0" xfId="0" applyNumberFormat="1" applyFill="1" applyBorder="1"/>
    <xf numFmtId="164" fontId="0" fillId="0" borderId="0" xfId="0" applyNumberFormat="1" applyFill="1" applyBorder="1"/>
    <xf numFmtId="0" fontId="0" fillId="0" borderId="0" xfId="0" applyFont="1" applyFill="1" applyAlignment="1">
      <alignment vertical="center"/>
    </xf>
    <xf numFmtId="0" fontId="0" fillId="2" borderId="3" xfId="0" applyFill="1" applyBorder="1" applyAlignment="1">
      <alignment horizontal="center" vertical="center"/>
    </xf>
    <xf numFmtId="0" fontId="0" fillId="6" borderId="0" xfId="0" applyFill="1"/>
    <xf numFmtId="0" fontId="6" fillId="6" borderId="6" xfId="0" applyFont="1" applyFill="1" applyBorder="1" applyAlignment="1">
      <alignment horizontal="center"/>
    </xf>
    <xf numFmtId="0" fontId="5" fillId="6" borderId="5" xfId="0" applyFont="1" applyFill="1" applyBorder="1" applyAlignment="1">
      <alignment horizontal="center"/>
    </xf>
    <xf numFmtId="0" fontId="5" fillId="6" borderId="13" xfId="0" applyFont="1" applyFill="1" applyBorder="1" applyAlignment="1">
      <alignment horizontal="center"/>
    </xf>
    <xf numFmtId="0" fontId="6" fillId="6" borderId="15" xfId="0" applyFont="1" applyFill="1" applyBorder="1" applyAlignment="1"/>
    <xf numFmtId="0" fontId="0" fillId="6" borderId="0" xfId="0" applyFill="1" applyBorder="1" applyAlignment="1"/>
    <xf numFmtId="0" fontId="0" fillId="6" borderId="10" xfId="0" applyFill="1" applyBorder="1" applyAlignment="1"/>
    <xf numFmtId="2" fontId="0" fillId="6" borderId="0" xfId="0" applyNumberFormat="1" applyFill="1" applyBorder="1" applyAlignment="1"/>
    <xf numFmtId="0" fontId="10" fillId="6" borderId="5" xfId="0" applyFont="1" applyFill="1" applyBorder="1" applyAlignment="1">
      <alignment horizontal="centerContinuous"/>
    </xf>
    <xf numFmtId="0" fontId="6" fillId="6" borderId="14" xfId="0" applyFont="1" applyFill="1" applyBorder="1" applyAlignment="1"/>
    <xf numFmtId="2" fontId="0" fillId="6" borderId="4" xfId="0" applyNumberFormat="1" applyFill="1" applyBorder="1" applyAlignment="1"/>
    <xf numFmtId="0" fontId="0" fillId="6" borderId="12" xfId="0" applyFill="1" applyBorder="1" applyAlignment="1"/>
    <xf numFmtId="0" fontId="0" fillId="6" borderId="6" xfId="0" applyFill="1" applyBorder="1"/>
    <xf numFmtId="2" fontId="0" fillId="6" borderId="7" xfId="0" applyNumberFormat="1" applyFill="1" applyBorder="1"/>
    <xf numFmtId="0" fontId="0" fillId="6" borderId="8" xfId="0" applyFill="1" applyBorder="1"/>
    <xf numFmtId="0" fontId="0" fillId="6" borderId="9" xfId="0" applyFill="1" applyBorder="1"/>
    <xf numFmtId="0" fontId="0" fillId="6" borderId="0" xfId="0" applyFill="1" applyBorder="1"/>
    <xf numFmtId="0" fontId="0" fillId="6" borderId="10" xfId="0" applyFill="1" applyBorder="1"/>
    <xf numFmtId="0" fontId="0" fillId="6" borderId="11" xfId="0" applyFill="1" applyBorder="1"/>
    <xf numFmtId="0" fontId="0" fillId="6" borderId="4" xfId="0" applyFill="1" applyBorder="1"/>
    <xf numFmtId="0" fontId="0" fillId="6" borderId="12" xfId="0" applyFill="1" applyBorder="1"/>
    <xf numFmtId="0" fontId="0" fillId="6" borderId="4" xfId="0" applyFill="1" applyBorder="1" applyAlignment="1"/>
    <xf numFmtId="0" fontId="0" fillId="6" borderId="1" xfId="0" applyFill="1" applyBorder="1" applyAlignment="1">
      <alignment horizontal="center" vertical="center"/>
    </xf>
    <xf numFmtId="0" fontId="0" fillId="6" borderId="1" xfId="0" applyNumberFormat="1" applyFill="1" applyBorder="1" applyAlignment="1">
      <alignment horizontal="center" vertical="center"/>
    </xf>
    <xf numFmtId="0" fontId="0" fillId="6" borderId="0" xfId="0" applyFill="1" applyBorder="1" applyAlignment="1">
      <alignment horizontal="center" vertical="center"/>
    </xf>
    <xf numFmtId="0" fontId="0" fillId="6" borderId="0" xfId="0" applyNumberFormat="1" applyFill="1" applyBorder="1" applyAlignment="1">
      <alignment horizontal="center" vertical="center"/>
    </xf>
    <xf numFmtId="0" fontId="0" fillId="0" borderId="0" xfId="0" applyAlignment="1">
      <alignment horizontal="center"/>
    </xf>
    <xf numFmtId="0" fontId="11" fillId="6" borderId="9" xfId="0" applyFont="1" applyFill="1" applyBorder="1" applyAlignment="1">
      <alignment horizontal="center"/>
    </xf>
    <xf numFmtId="0" fontId="11" fillId="6" borderId="0" xfId="0" applyFont="1" applyFill="1" applyBorder="1" applyAlignment="1">
      <alignment horizontal="center"/>
    </xf>
    <xf numFmtId="0" fontId="2" fillId="3" borderId="0" xfId="0" applyFont="1" applyFill="1" applyAlignment="1">
      <alignment horizontal="center" vertical="center"/>
    </xf>
    <xf numFmtId="0" fontId="3" fillId="3" borderId="0" xfId="0" applyFont="1" applyFill="1" applyAlignment="1">
      <alignment horizontal="center" vertical="center"/>
    </xf>
    <xf numFmtId="0" fontId="0" fillId="2" borderId="1" xfId="0" applyFill="1" applyBorder="1" applyAlignment="1">
      <alignment horizontal="center"/>
    </xf>
    <xf numFmtId="0" fontId="0" fillId="4" borderId="0" xfId="0" applyFill="1" applyAlignment="1">
      <alignment horizontal="center"/>
    </xf>
    <xf numFmtId="0" fontId="0" fillId="4" borderId="0" xfId="0" applyFill="1" applyAlignment="1">
      <alignment horizontal="center" vertical="center"/>
    </xf>
    <xf numFmtId="164" fontId="0" fillId="4" borderId="0" xfId="1" applyNumberFormat="1" applyFont="1" applyFill="1" applyAlignment="1">
      <alignment horizontal="center" vertical="center"/>
    </xf>
    <xf numFmtId="164" fontId="0" fillId="4" borderId="0" xfId="0" applyNumberFormat="1" applyFill="1" applyAlignment="1">
      <alignment horizontal="center" vertical="center"/>
    </xf>
    <xf numFmtId="0" fontId="9" fillId="6" borderId="0" xfId="0" applyFont="1" applyFill="1" applyAlignment="1">
      <alignment horizontal="center" vertical="center" wrapText="1"/>
    </xf>
    <xf numFmtId="0" fontId="0" fillId="0" borderId="0" xfId="0" applyAlignment="1">
      <alignment horizontal="center" vertical="center"/>
    </xf>
  </cellXfs>
  <cellStyles count="2">
    <cellStyle name="Normal" xfId="0" builtinId="0"/>
    <cellStyle name="Percent" xfId="1" builtinId="5"/>
  </cellStyles>
  <dxfs count="348">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indexed="64"/>
          <bgColor theme="8"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0.0%"/>
      <fill>
        <patternFill patternType="solid">
          <fgColor indexed="64"/>
          <bgColor theme="8" tint="0.39997558519241921"/>
        </patternFill>
      </fill>
    </dxf>
    <dxf>
      <font>
        <b val="0"/>
        <i val="0"/>
        <strike val="0"/>
        <condense val="0"/>
        <extend val="0"/>
        <outline val="0"/>
        <shadow val="0"/>
        <u val="none"/>
        <vertAlign val="baseline"/>
        <sz val="11"/>
        <color theme="1"/>
        <name val="Calibri"/>
        <family val="2"/>
        <scheme val="minor"/>
      </font>
      <numFmt numFmtId="164" formatCode="0.0%"/>
      <fill>
        <patternFill patternType="solid">
          <fgColor indexed="64"/>
          <bgColor theme="8" tint="0.39997558519241921"/>
        </patternFill>
      </fill>
      <alignment horizontal="center" vertical="bottom" textRotation="0" wrapText="0" indent="0" justifyLastLine="0" shrinkToFit="0" readingOrder="0"/>
    </dxf>
    <dxf>
      <fill>
        <patternFill patternType="solid">
          <fgColor indexed="64"/>
          <bgColor theme="8" tint="0.39997558519241921"/>
        </patternFill>
      </fill>
      <alignment horizontal="center" vertical="bottom" textRotation="0" wrapText="0" indent="0" justifyLastLine="0" shrinkToFit="0" readingOrder="0"/>
    </dxf>
    <dxf>
      <fill>
        <patternFill patternType="solid">
          <fgColor indexed="64"/>
          <bgColor theme="8" tint="0.39997558519241921"/>
        </patternFill>
      </fill>
    </dxf>
    <dxf>
      <fill>
        <patternFill patternType="solid">
          <fgColor indexed="64"/>
          <bgColor theme="8" tint="0.39997558519241921"/>
        </patternFill>
      </fill>
      <alignment horizontal="center" vertical="center" textRotation="0" wrapText="0" indent="0" justifyLastLine="0" shrinkToFit="0" readingOrder="0"/>
    </dxf>
    <dxf>
      <numFmt numFmtId="164" formatCode="0.0%"/>
    </dxf>
    <dxf>
      <numFmt numFmtId="164" formatCode="0.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7" tint="0.59999389629810485"/>
        </patternFill>
      </fill>
    </dxf>
    <dxf>
      <fill>
        <patternFill>
          <bgColor theme="7" tint="0.59999389629810485"/>
        </patternFill>
      </fill>
    </dxf>
    <dxf>
      <fill>
        <patternFill>
          <bgColor theme="7" tint="0.59999389629810485"/>
        </patternFill>
      </fill>
    </dxf>
    <dxf>
      <alignment vertical="center"/>
    </dxf>
    <dxf>
      <alignment vertical="center"/>
    </dxf>
    <dxf>
      <alignment vertical="center"/>
    </dxf>
    <dxf>
      <alignment vertic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7" tint="0.59999389629810485"/>
        </patternFill>
      </fill>
    </dxf>
    <dxf>
      <fill>
        <patternFill>
          <bgColor theme="7" tint="0.59999389629810485"/>
        </patternFill>
      </fill>
    </dxf>
    <dxf>
      <fill>
        <patternFill>
          <bgColor theme="7" tint="0.59999389629810485"/>
        </patternFill>
      </fill>
    </dxf>
    <dxf>
      <alignment vertical="center"/>
    </dxf>
    <dxf>
      <alignment vertical="center"/>
    </dxf>
    <dxf>
      <alignment vertical="center"/>
    </dxf>
    <dxf>
      <alignment vertic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numFmt numFmtId="164" formatCode="0.0%"/>
    </dxf>
    <dxf>
      <numFmt numFmtId="164" formatCode="0.0%"/>
    </dxf>
    <dxf>
      <numFmt numFmtId="164" formatCode="0.0%"/>
    </dxf>
    <dxf>
      <numFmt numFmtId="14" formatCode="0.00%"/>
    </dxf>
    <dxf>
      <numFmt numFmtId="164" formatCode="0.0%"/>
    </dxf>
    <dxf>
      <numFmt numFmtId="164" formatCode="0.0%"/>
    </dxf>
    <dxf>
      <numFmt numFmtId="164" formatCode="0.0%"/>
    </dxf>
    <dxf>
      <alignment vertical="center"/>
    </dxf>
    <dxf>
      <alignment vertical="center"/>
    </dxf>
    <dxf>
      <alignment vertical="center"/>
    </dxf>
    <dxf>
      <alignment vertical="center"/>
    </dxf>
    <dxf>
      <alignment horizontal="center"/>
    </dxf>
    <dxf>
      <alignment horizontal="center"/>
    </dxf>
    <dxf>
      <alignment horizontal="center"/>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7" tint="0.59999389629810485"/>
        </patternFill>
      </fill>
    </dxf>
    <dxf>
      <fill>
        <patternFill>
          <bgColor theme="7" tint="0.59999389629810485"/>
        </patternFill>
      </fill>
    </dxf>
    <dxf>
      <fill>
        <patternFill>
          <bgColor theme="7" tint="0.59999389629810485"/>
        </patternFill>
      </fill>
    </dxf>
    <dxf>
      <alignment vertical="center"/>
    </dxf>
    <dxf>
      <alignment vertical="center"/>
    </dxf>
    <dxf>
      <alignment vertical="center"/>
    </dxf>
    <dxf>
      <alignment vertical="center"/>
    </dxf>
    <dxf>
      <alignment horizontal="center"/>
    </dxf>
    <dxf>
      <alignment horizontal="center"/>
    </dxf>
    <dxf>
      <alignment horizontal="center"/>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7" tint="0.59999389629810485"/>
        </patternFill>
      </fill>
    </dxf>
    <dxf>
      <fill>
        <patternFill>
          <bgColor theme="7" tint="0.59999389629810485"/>
        </patternFill>
      </fill>
    </dxf>
    <dxf>
      <fill>
        <patternFill>
          <bgColor theme="7" tint="0.59999389629810485"/>
        </patternFill>
      </fill>
    </dxf>
    <dxf>
      <alignment vertical="center"/>
    </dxf>
    <dxf>
      <alignment vertical="center"/>
    </dxf>
    <dxf>
      <alignment vertical="center"/>
    </dxf>
    <dxf>
      <alignment vertical="center"/>
    </dxf>
    <dxf>
      <alignment horizontal="center"/>
    </dxf>
    <dxf>
      <alignment horizontal="center"/>
    </dxf>
    <dxf>
      <alignment horizontal="center"/>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7" tint="0.59999389629810485"/>
        </patternFill>
      </fill>
    </dxf>
    <dxf>
      <fill>
        <patternFill>
          <bgColor theme="7" tint="0.59999389629810485"/>
        </patternFill>
      </fill>
    </dxf>
    <dxf>
      <fill>
        <patternFill>
          <bgColor theme="7" tint="0.59999389629810485"/>
        </patternFill>
      </fill>
    </dxf>
    <dxf>
      <alignment vertical="center"/>
    </dxf>
    <dxf>
      <alignment vertical="center"/>
    </dxf>
    <dxf>
      <alignment vertical="center"/>
    </dxf>
    <dxf>
      <alignment vertic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numFmt numFmtId="164" formatCode="0.0%"/>
    </dxf>
    <dxf>
      <numFmt numFmtId="14" formatCode="0.00%"/>
    </dxf>
    <dxf>
      <numFmt numFmtId="164" formatCode="0.0%"/>
    </dxf>
    <dxf>
      <numFmt numFmtId="164" formatCode="0.0%"/>
    </dxf>
    <dxf>
      <numFmt numFmtId="164" formatCode="0.0%"/>
    </dxf>
    <dxf>
      <numFmt numFmtId="164" formatCode="0.0%"/>
    </dxf>
    <dxf>
      <alignment vertical="center"/>
    </dxf>
    <dxf>
      <alignment vertical="center"/>
    </dxf>
    <dxf>
      <alignment vertical="center"/>
    </dxf>
    <dxf>
      <alignment vertic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7" tint="0.59999389629810485"/>
        </patternFill>
      </fill>
    </dxf>
    <dxf>
      <fill>
        <patternFill>
          <bgColor theme="7" tint="0.59999389629810485"/>
        </patternFill>
      </fill>
    </dxf>
    <dxf>
      <fill>
        <patternFill>
          <bgColor theme="7" tint="0.59999389629810485"/>
        </patternFill>
      </fill>
    </dxf>
    <dxf>
      <alignment vertical="center"/>
    </dxf>
    <dxf>
      <alignment vertical="center"/>
    </dxf>
    <dxf>
      <alignment vertical="center"/>
    </dxf>
    <dxf>
      <alignment vertic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7" tint="0.59999389629810485"/>
        </patternFill>
      </fill>
    </dxf>
    <dxf>
      <fill>
        <patternFill>
          <bgColor theme="7" tint="0.59999389629810485"/>
        </patternFill>
      </fill>
    </dxf>
    <dxf>
      <fill>
        <patternFill>
          <bgColor theme="7" tint="0.59999389629810485"/>
        </patternFill>
      </fill>
    </dxf>
    <dxf>
      <alignment vertical="center"/>
    </dxf>
    <dxf>
      <alignment vertical="center"/>
    </dxf>
    <dxf>
      <alignment vertical="center"/>
    </dxf>
    <dxf>
      <alignment vertical="center"/>
    </dxf>
    <dxf>
      <alignment horizontal="center"/>
    </dxf>
    <dxf>
      <alignment horizontal="center"/>
    </dxf>
    <dxf>
      <alignment horizontal="center"/>
    </dxf>
    <dxf>
      <numFmt numFmtId="164" formatCode="0.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numFmt numFmtId="164" formatCode="0.0%"/>
    </dxf>
    <dxf>
      <numFmt numFmtId="164" formatCode="0.0%"/>
    </dxf>
    <dxf>
      <alignment vertical="center"/>
    </dxf>
    <dxf>
      <alignment vertical="center"/>
    </dxf>
    <dxf>
      <alignment vertical="center"/>
    </dxf>
    <dxf>
      <alignment vertical="center"/>
    </dxf>
    <dxf>
      <alignment horizontal="center"/>
    </dxf>
    <dxf>
      <alignment horizontal="center"/>
    </dxf>
    <dxf>
      <alignment horizontal="center"/>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numFmt numFmtId="164" formatCode="0.0%"/>
    </dxf>
    <dxf>
      <numFmt numFmtId="164" formatCode="0.0%"/>
    </dxf>
    <dxf>
      <alignment vertical="center"/>
    </dxf>
    <dxf>
      <alignment vertical="center"/>
    </dxf>
    <dxf>
      <alignment vertical="center"/>
    </dxf>
    <dxf>
      <alignment vertical="center"/>
    </dxf>
    <dxf>
      <alignment horizontal="center"/>
    </dxf>
    <dxf>
      <alignment horizontal="center"/>
    </dxf>
    <dxf>
      <alignment horizontal="center"/>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numFmt numFmtId="164" formatCode="0.0%"/>
    </dxf>
    <dxf>
      <numFmt numFmtId="164" formatCode="0.0%"/>
    </dxf>
    <dxf>
      <numFmt numFmtId="164" formatCode="0.0%"/>
    </dxf>
    <dxf>
      <numFmt numFmtId="164" formatCode="0.0%"/>
    </dxf>
    <dxf>
      <numFmt numFmtId="164" formatCode="0.0%"/>
    </dxf>
    <dxf>
      <alignment vertical="center"/>
    </dxf>
    <dxf>
      <alignment vertical="center"/>
    </dxf>
    <dxf>
      <alignment vertical="center"/>
    </dxf>
    <dxf>
      <alignment vertic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alignment vertical="center"/>
    </dxf>
    <dxf>
      <alignment vertical="center"/>
    </dxf>
    <dxf>
      <alignment vertical="center"/>
    </dxf>
    <dxf>
      <alignment vertic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7" tint="0.59999389629810485"/>
        </patternFill>
      </fill>
    </dxf>
    <dxf>
      <fill>
        <patternFill>
          <bgColor theme="7" tint="0.59999389629810485"/>
        </patternFill>
      </fill>
    </dxf>
    <dxf>
      <fill>
        <patternFill>
          <bgColor theme="7" tint="0.59999389629810485"/>
        </patternFill>
      </fill>
    </dxf>
    <dxf>
      <alignment vertical="center"/>
    </dxf>
    <dxf>
      <alignment vertical="center"/>
    </dxf>
    <dxf>
      <alignment vertical="center"/>
    </dxf>
    <dxf>
      <alignment vertic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numFmt numFmtId="164" formatCode="0.0%"/>
    </dxf>
    <dxf>
      <numFmt numFmtId="14" formatCode="0.00%"/>
    </dxf>
    <dxf>
      <numFmt numFmtId="164" formatCode="0.0%"/>
    </dxf>
    <dxf>
      <numFmt numFmtId="164" formatCode="0.0%"/>
    </dxf>
    <dxf>
      <numFmt numFmtId="164" formatCode="0.0%"/>
    </dxf>
    <dxf>
      <numFmt numFmtId="164" formatCode="0.0%"/>
    </dxf>
    <dxf>
      <alignment vertical="center"/>
    </dxf>
    <dxf>
      <alignment vertical="center"/>
    </dxf>
    <dxf>
      <alignment vertical="center"/>
    </dxf>
    <dxf>
      <alignment vertic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7" tint="0.59999389629810485"/>
        </patternFill>
      </fill>
    </dxf>
    <dxf>
      <fill>
        <patternFill>
          <bgColor theme="7" tint="0.59999389629810485"/>
        </patternFill>
      </fill>
    </dxf>
    <dxf>
      <fill>
        <patternFill>
          <bgColor theme="7" tint="0.59999389629810485"/>
        </patternFill>
      </fill>
    </dxf>
    <dxf>
      <alignment vertical="center"/>
    </dxf>
    <dxf>
      <alignment vertical="center"/>
    </dxf>
    <dxf>
      <alignment vertical="center"/>
    </dxf>
    <dxf>
      <alignment vertic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7" tint="0.59999389629810485"/>
        </patternFill>
      </fill>
    </dxf>
    <dxf>
      <fill>
        <patternFill>
          <bgColor theme="7" tint="0.59999389629810485"/>
        </patternFill>
      </fill>
    </dxf>
    <dxf>
      <fill>
        <patternFill>
          <bgColor theme="7" tint="0.59999389629810485"/>
        </patternFill>
      </fill>
    </dxf>
    <dxf>
      <alignment vertical="center"/>
    </dxf>
    <dxf>
      <alignment vertical="center"/>
    </dxf>
    <dxf>
      <alignment vertical="center"/>
    </dxf>
    <dxf>
      <alignment vertical="center"/>
    </dxf>
    <dxf>
      <alignment horizontal="center"/>
    </dxf>
    <dxf>
      <alignment horizontal="center"/>
    </dxf>
    <dxf>
      <alignment horizontal="center"/>
    </dxf>
    <dxf>
      <fill>
        <patternFill patternType="solid">
          <bgColor theme="8" tint="0.39997558519241921"/>
        </patternFill>
      </fill>
    </dxf>
    <dxf>
      <fill>
        <patternFill patternType="solid">
          <bgColor theme="8" tint="0.39997558519241921"/>
        </patternFill>
      </fill>
    </dxf>
    <dxf>
      <fill>
        <patternFill patternType="solid">
          <bgColor theme="8"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7" tint="0.59999389629810485"/>
        </patternFill>
      </fill>
    </dxf>
    <dxf>
      <fill>
        <patternFill>
          <bgColor theme="7" tint="0.59999389629810485"/>
        </patternFill>
      </fill>
    </dxf>
    <dxf>
      <fill>
        <patternFill>
          <bgColor theme="7" tint="0.59999389629810485"/>
        </patternFill>
      </fill>
    </dxf>
    <dxf>
      <alignment vertical="center"/>
    </dxf>
    <dxf>
      <alignment vertical="center"/>
    </dxf>
    <dxf>
      <alignment vertical="center"/>
    </dxf>
    <dxf>
      <alignment vertical="center"/>
    </dxf>
    <dxf>
      <alignment horizontal="center"/>
    </dxf>
    <dxf>
      <alignment horizontal="center"/>
    </dxf>
    <dxf>
      <alignment horizontal="center"/>
    </dxf>
    <dxf>
      <font>
        <b/>
        <i val="0"/>
        <color theme="0"/>
      </font>
      <fill>
        <patternFill patternType="solid">
          <fgColor theme="3"/>
          <bgColor theme="3" tint="0.499984740745262"/>
        </patternFill>
      </fill>
      <border>
        <left style="thin">
          <color auto="1"/>
        </left>
        <right style="thin">
          <color auto="1"/>
        </right>
        <top style="thin">
          <color auto="1"/>
        </top>
        <bottom style="thin">
          <color auto="1"/>
        </bottom>
      </border>
    </dxf>
    <dxf>
      <font>
        <b/>
        <i val="0"/>
        <color theme="0"/>
      </font>
      <fill>
        <patternFill patternType="solid">
          <fgColor theme="3"/>
          <bgColor theme="3" tint="0.499984740745262"/>
        </patternFill>
      </fill>
      <border>
        <left style="thin">
          <color auto="1"/>
        </left>
        <right style="thin">
          <color auto="1"/>
        </right>
        <top style="thin">
          <color auto="1"/>
        </top>
        <bottom style="thin">
          <color auto="1"/>
        </bottom>
      </border>
    </dxf>
  </dxfs>
  <tableStyles count="2" defaultTableStyle="TableStyleMedium2" defaultPivotStyle="PivotStyleLight16">
    <tableStyle name="Slicer Style 1" pivot="0" table="0" count="5" xr9:uid="{6BE66838-9E88-4DBD-8EDE-81FF9BF3E5A0}">
      <tableStyleElement type="wholeTable" dxfId="347"/>
    </tableStyle>
    <tableStyle name="Slicer Style 1 2" pivot="0" table="0" count="8" xr9:uid="{CA4823EB-B6D9-45DD-90F6-65E914035EF9}">
      <tableStyleElement type="wholeTable" dxfId="346"/>
    </tableStyle>
  </tableStyles>
  <colors>
    <mruColors>
      <color rgb="FF62D4B9"/>
      <color rgb="FF268C74"/>
      <color rgb="FF9E1480"/>
      <color rgb="FF45576D"/>
      <color rgb="FFE59E7B"/>
      <color rgb="FF2BC599"/>
      <color rgb="FFEB7A67"/>
      <color rgb="FFE3472D"/>
      <color rgb="FFF19A93"/>
      <color rgb="FFFFCD2F"/>
    </mruColors>
  </colors>
  <extLst>
    <ext xmlns:x14="http://schemas.microsoft.com/office/spreadsheetml/2009/9/main" uri="{46F421CA-312F-682f-3DD2-61675219B42D}">
      <x14:dxfs count="11">
        <dxf>
          <fill>
            <patternFill>
              <bgColor theme="3" tint="0.499984740745262"/>
            </patternFill>
          </fill>
        </dxf>
        <dxf>
          <fill>
            <patternFill>
              <bgColor theme="3" tint="4.9989318521683403E-2"/>
            </patternFill>
          </fill>
        </dxf>
        <dxf>
          <fill>
            <patternFill>
              <fgColor theme="6" tint="0.79989013336588644"/>
              <bgColor theme="3" tint="4.9989318521683403E-2"/>
            </patternFill>
          </fill>
        </dxf>
        <dxf>
          <fill>
            <patternFill patternType="solid">
              <bgColor theme="3" tint="4.9989318521683403E-2"/>
            </patternFill>
          </fill>
        </dxf>
        <dxf>
          <fill>
            <patternFill patternType="none">
              <bgColor auto="1"/>
            </patternFill>
          </fill>
        </dxf>
        <dxf>
          <fill>
            <patternFill>
              <bgColor theme="3" tint="4.9989318521683403E-2"/>
            </patternFill>
          </fill>
        </dxf>
        <dxf>
          <fill>
            <patternFill>
              <bgColor theme="3" tint="4.9989318521683403E-2"/>
            </patternFill>
          </fill>
        </dxf>
        <dxf>
          <fill>
            <patternFill>
              <bgColor theme="3" tint="0.34998626667073579"/>
            </patternFill>
          </fill>
        </dxf>
        <dxf>
          <fill>
            <patternFill>
              <fgColor theme="6" tint="0.79998168889431442"/>
            </patternFill>
          </fill>
        </dxf>
        <dxf>
          <fill>
            <patternFill>
              <bgColor theme="3" tint="0.14996795556505021"/>
            </patternFill>
          </fill>
        </dxf>
        <dxf>
          <fill>
            <patternFill>
              <bgColor theme="3" tint="0.24994659260841701"/>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10"/>
            <x14:slicerStyleElement type="selectedItemWithNoData" dxfId="9"/>
            <x14:slicerStyleElement type="hoveredSelectedItemWithData" dxfId="8"/>
            <x14:slicerStyleElement type="hoveredSelectedItemWithNoData" dxfId="7"/>
          </x14:slicerStyleElements>
        </x14:slicerStyle>
        <x14:slicerStyle name="Slicer Style 1 2">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2.xml"/><Relationship Id="rId21" Type="http://schemas.openxmlformats.org/officeDocument/2006/relationships/pivotCacheDefinition" Target="pivotCache/pivotCacheDefinition17.xml"/><Relationship Id="rId42" Type="http://schemas.openxmlformats.org/officeDocument/2006/relationships/customXml" Target="../customXml/item8.xml"/><Relationship Id="rId47" Type="http://schemas.openxmlformats.org/officeDocument/2006/relationships/customXml" Target="../customXml/item13.xml"/><Relationship Id="rId63" Type="http://schemas.openxmlformats.org/officeDocument/2006/relationships/customXml" Target="../customXml/item29.xml"/><Relationship Id="rId68" Type="http://schemas.openxmlformats.org/officeDocument/2006/relationships/customXml" Target="../customXml/item34.xml"/><Relationship Id="rId84" Type="http://schemas.openxmlformats.org/officeDocument/2006/relationships/customXml" Target="../customXml/item50.xml"/><Relationship Id="rId16" Type="http://schemas.openxmlformats.org/officeDocument/2006/relationships/pivotCacheDefinition" Target="pivotCache/pivotCacheDefinition12.xml"/><Relationship Id="rId11" Type="http://schemas.openxmlformats.org/officeDocument/2006/relationships/pivotCacheDefinition" Target="pivotCache/pivotCacheDefinition7.xml"/><Relationship Id="rId32" Type="http://schemas.openxmlformats.org/officeDocument/2006/relationships/sheetMetadata" Target="metadata.xml"/><Relationship Id="rId37" Type="http://schemas.openxmlformats.org/officeDocument/2006/relationships/customXml" Target="../customXml/item3.xml"/><Relationship Id="rId53" Type="http://schemas.openxmlformats.org/officeDocument/2006/relationships/customXml" Target="../customXml/item19.xml"/><Relationship Id="rId58" Type="http://schemas.openxmlformats.org/officeDocument/2006/relationships/customXml" Target="../customXml/item24.xml"/><Relationship Id="rId74" Type="http://schemas.openxmlformats.org/officeDocument/2006/relationships/customXml" Target="../customXml/item40.xml"/><Relationship Id="rId79" Type="http://schemas.openxmlformats.org/officeDocument/2006/relationships/customXml" Target="../customXml/item45.xml"/><Relationship Id="rId5" Type="http://schemas.openxmlformats.org/officeDocument/2006/relationships/pivotCacheDefinition" Target="pivotCache/pivotCacheDefinition1.xml"/><Relationship Id="rId19" Type="http://schemas.openxmlformats.org/officeDocument/2006/relationships/pivotCacheDefinition" Target="pivotCache/pivotCacheDefinition1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microsoft.com/office/2007/relationships/slicerCache" Target="slicerCaches/slicerCache3.xml"/><Relationship Id="rId30" Type="http://schemas.openxmlformats.org/officeDocument/2006/relationships/styles" Target="styles.xml"/><Relationship Id="rId35" Type="http://schemas.openxmlformats.org/officeDocument/2006/relationships/customXml" Target="../customXml/item1.xml"/><Relationship Id="rId43" Type="http://schemas.openxmlformats.org/officeDocument/2006/relationships/customXml" Target="../customXml/item9.xml"/><Relationship Id="rId48" Type="http://schemas.openxmlformats.org/officeDocument/2006/relationships/customXml" Target="../customXml/item14.xml"/><Relationship Id="rId56" Type="http://schemas.openxmlformats.org/officeDocument/2006/relationships/customXml" Target="../customXml/item22.xml"/><Relationship Id="rId64" Type="http://schemas.openxmlformats.org/officeDocument/2006/relationships/customXml" Target="../customXml/item30.xml"/><Relationship Id="rId69" Type="http://schemas.openxmlformats.org/officeDocument/2006/relationships/customXml" Target="../customXml/item35.xml"/><Relationship Id="rId77" Type="http://schemas.openxmlformats.org/officeDocument/2006/relationships/customXml" Target="../customXml/item43.xml"/><Relationship Id="rId8" Type="http://schemas.openxmlformats.org/officeDocument/2006/relationships/pivotCacheDefinition" Target="pivotCache/pivotCacheDefinition4.xml"/><Relationship Id="rId51" Type="http://schemas.openxmlformats.org/officeDocument/2006/relationships/customXml" Target="../customXml/item17.xml"/><Relationship Id="rId72" Type="http://schemas.openxmlformats.org/officeDocument/2006/relationships/customXml" Target="../customXml/item38.xml"/><Relationship Id="rId80" Type="http://schemas.openxmlformats.org/officeDocument/2006/relationships/customXml" Target="../customXml/item46.xml"/><Relationship Id="rId85"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microsoft.com/office/2007/relationships/slicerCache" Target="slicerCaches/slicerCache1.xml"/><Relationship Id="rId33" Type="http://schemas.openxmlformats.org/officeDocument/2006/relationships/powerPivotData" Target="model/item.data"/><Relationship Id="rId38" Type="http://schemas.openxmlformats.org/officeDocument/2006/relationships/customXml" Target="../customXml/item4.xml"/><Relationship Id="rId46" Type="http://schemas.openxmlformats.org/officeDocument/2006/relationships/customXml" Target="../customXml/item12.xml"/><Relationship Id="rId59" Type="http://schemas.openxmlformats.org/officeDocument/2006/relationships/customXml" Target="../customXml/item25.xml"/><Relationship Id="rId67" Type="http://schemas.openxmlformats.org/officeDocument/2006/relationships/customXml" Target="../customXml/item33.xml"/><Relationship Id="rId20" Type="http://schemas.openxmlformats.org/officeDocument/2006/relationships/pivotCacheDefinition" Target="pivotCache/pivotCacheDefinition16.xml"/><Relationship Id="rId41" Type="http://schemas.openxmlformats.org/officeDocument/2006/relationships/customXml" Target="../customXml/item7.xml"/><Relationship Id="rId54" Type="http://schemas.openxmlformats.org/officeDocument/2006/relationships/customXml" Target="../customXml/item20.xml"/><Relationship Id="rId62" Type="http://schemas.openxmlformats.org/officeDocument/2006/relationships/customXml" Target="../customXml/item28.xml"/><Relationship Id="rId70" Type="http://schemas.openxmlformats.org/officeDocument/2006/relationships/customXml" Target="../customXml/item36.xml"/><Relationship Id="rId75" Type="http://schemas.openxmlformats.org/officeDocument/2006/relationships/customXml" Target="../customXml/item41.xml"/><Relationship Id="rId83" Type="http://schemas.openxmlformats.org/officeDocument/2006/relationships/customXml" Target="../customXml/item49.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theme" Target="theme/theme1.xml"/><Relationship Id="rId36" Type="http://schemas.openxmlformats.org/officeDocument/2006/relationships/customXml" Target="../customXml/item2.xml"/><Relationship Id="rId49" Type="http://schemas.openxmlformats.org/officeDocument/2006/relationships/customXml" Target="../customXml/item15.xml"/><Relationship Id="rId57" Type="http://schemas.openxmlformats.org/officeDocument/2006/relationships/customXml" Target="../customXml/item23.xml"/><Relationship Id="rId10" Type="http://schemas.openxmlformats.org/officeDocument/2006/relationships/pivotCacheDefinition" Target="pivotCache/pivotCacheDefinition6.xml"/><Relationship Id="rId31" Type="http://schemas.openxmlformats.org/officeDocument/2006/relationships/sharedStrings" Target="sharedStrings.xml"/><Relationship Id="rId44" Type="http://schemas.openxmlformats.org/officeDocument/2006/relationships/customXml" Target="../customXml/item10.xml"/><Relationship Id="rId52" Type="http://schemas.openxmlformats.org/officeDocument/2006/relationships/customXml" Target="../customXml/item18.xml"/><Relationship Id="rId60" Type="http://schemas.openxmlformats.org/officeDocument/2006/relationships/customXml" Target="../customXml/item26.xml"/><Relationship Id="rId65" Type="http://schemas.openxmlformats.org/officeDocument/2006/relationships/customXml" Target="../customXml/item31.xml"/><Relationship Id="rId73" Type="http://schemas.openxmlformats.org/officeDocument/2006/relationships/customXml" Target="../customXml/item39.xml"/><Relationship Id="rId78" Type="http://schemas.openxmlformats.org/officeDocument/2006/relationships/customXml" Target="../customXml/item44.xml"/><Relationship Id="rId81" Type="http://schemas.openxmlformats.org/officeDocument/2006/relationships/customXml" Target="../customXml/item47.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39" Type="http://schemas.openxmlformats.org/officeDocument/2006/relationships/customXml" Target="../customXml/item5.xml"/><Relationship Id="rId34" Type="http://schemas.openxmlformats.org/officeDocument/2006/relationships/calcChain" Target="calcChain.xml"/><Relationship Id="rId50" Type="http://schemas.openxmlformats.org/officeDocument/2006/relationships/customXml" Target="../customXml/item16.xml"/><Relationship Id="rId55" Type="http://schemas.openxmlformats.org/officeDocument/2006/relationships/customXml" Target="../customXml/item21.xml"/><Relationship Id="rId76" Type="http://schemas.openxmlformats.org/officeDocument/2006/relationships/customXml" Target="../customXml/item42.xml"/><Relationship Id="rId7" Type="http://schemas.openxmlformats.org/officeDocument/2006/relationships/pivotCacheDefinition" Target="pivotCache/pivotCacheDefinition3.xml"/><Relationship Id="rId71" Type="http://schemas.openxmlformats.org/officeDocument/2006/relationships/customXml" Target="../customXml/item37.xml"/><Relationship Id="rId2" Type="http://schemas.openxmlformats.org/officeDocument/2006/relationships/worksheet" Target="worksheets/sheet2.xml"/><Relationship Id="rId29" Type="http://schemas.openxmlformats.org/officeDocument/2006/relationships/connections" Target="connections.xml"/><Relationship Id="rId24" Type="http://schemas.openxmlformats.org/officeDocument/2006/relationships/pivotCacheDefinition" Target="pivotCache/pivotCacheDefinition20.xml"/><Relationship Id="rId40" Type="http://schemas.openxmlformats.org/officeDocument/2006/relationships/customXml" Target="../customXml/item6.xml"/><Relationship Id="rId45" Type="http://schemas.openxmlformats.org/officeDocument/2006/relationships/customXml" Target="../customXml/item11.xml"/><Relationship Id="rId66" Type="http://schemas.openxmlformats.org/officeDocument/2006/relationships/customXml" Target="../customXml/item32.xml"/><Relationship Id="rId61" Type="http://schemas.openxmlformats.org/officeDocument/2006/relationships/customXml" Target="../customXml/item27.xml"/><Relationship Id="rId82" Type="http://schemas.openxmlformats.org/officeDocument/2006/relationships/customXml" Target="../customXml/item4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1"/>
        <c:ser>
          <c:idx val="0"/>
          <c:order val="0"/>
          <c:spPr>
            <a:gradFill>
              <a:gsLst>
                <a:gs pos="39000">
                  <a:srgbClr val="FFC000"/>
                </a:gs>
                <a:gs pos="0">
                  <a:srgbClr val="C00000"/>
                </a:gs>
                <a:gs pos="100000">
                  <a:srgbClr val="FF0000"/>
                </a:gs>
              </a:gsLst>
              <a:lin ang="16200000" scaled="1"/>
            </a:gradFill>
          </c:spPr>
          <c:invertIfNegative val="0"/>
          <c:dPt>
            <c:idx val="0"/>
            <c:invertIfNegative val="0"/>
            <c:bubble3D val="0"/>
            <c:spPr>
              <a:gradFill flip="none" rotWithShape="1">
                <a:gsLst>
                  <a:gs pos="30000">
                    <a:srgbClr val="EE2722"/>
                  </a:gs>
                  <a:gs pos="100000">
                    <a:srgbClr val="E59E7B"/>
                  </a:gs>
                </a:gsLst>
                <a:path path="circle">
                  <a:fillToRect t="100000" r="100000"/>
                </a:path>
                <a:tileRect l="-100000" b="-100000"/>
              </a:gradFill>
              <a:ln>
                <a:noFill/>
              </a:ln>
              <a:effectLst/>
            </c:spPr>
            <c:extLst>
              <c:ext xmlns:c16="http://schemas.microsoft.com/office/drawing/2014/chart" uri="{C3380CC4-5D6E-409C-BE32-E72D297353CC}">
                <c16:uniqueId val="{00000001-B9B7-4CA3-BC85-DD11CAFE5770}"/>
              </c:ext>
            </c:extLst>
          </c:dPt>
          <c:dPt>
            <c:idx val="1"/>
            <c:invertIfNegative val="0"/>
            <c:bubble3D val="0"/>
            <c:spPr>
              <a:gradFill flip="none" rotWithShape="1">
                <a:gsLst>
                  <a:gs pos="37000">
                    <a:srgbClr val="EE2722"/>
                  </a:gs>
                  <a:gs pos="100000">
                    <a:srgbClr val="E59E7B"/>
                  </a:gs>
                </a:gsLst>
                <a:path path="circle">
                  <a:fillToRect l="50000" t="50000" r="50000" b="50000"/>
                </a:path>
                <a:tileRect/>
              </a:gradFill>
              <a:ln>
                <a:noFill/>
              </a:ln>
              <a:effectLst/>
            </c:spPr>
            <c:extLst>
              <c:ext xmlns:c16="http://schemas.microsoft.com/office/drawing/2014/chart" uri="{C3380CC4-5D6E-409C-BE32-E72D297353CC}">
                <c16:uniqueId val="{00000003-B9B7-4CA3-BC85-DD11CAFE5770}"/>
              </c:ext>
            </c:extLst>
          </c:dPt>
          <c:dPt>
            <c:idx val="2"/>
            <c:invertIfNegative val="0"/>
            <c:bubble3D val="0"/>
            <c:spPr>
              <a:gradFill flip="none" rotWithShape="1">
                <a:gsLst>
                  <a:gs pos="51000">
                    <a:srgbClr val="E3472D"/>
                  </a:gs>
                  <a:gs pos="100000">
                    <a:srgbClr val="E59E7B"/>
                  </a:gs>
                </a:gsLst>
                <a:path path="circle">
                  <a:fillToRect l="100000" b="100000"/>
                </a:path>
                <a:tileRect t="-100000" r="-100000"/>
              </a:gradFill>
              <a:ln>
                <a:noFill/>
              </a:ln>
              <a:effectLst/>
            </c:spPr>
            <c:extLst>
              <c:ext xmlns:c16="http://schemas.microsoft.com/office/drawing/2014/chart" uri="{C3380CC4-5D6E-409C-BE32-E72D297353CC}">
                <c16:uniqueId val="{00000005-B9B7-4CA3-BC85-DD11CAFE5770}"/>
              </c:ext>
            </c:extLst>
          </c:dPt>
          <c:dLbls>
            <c:dLbl>
              <c:idx val="0"/>
              <c:tx>
                <c:rich>
                  <a:bodyPr/>
                  <a:lstStyle/>
                  <a:p>
                    <a:fld id="{407A739D-711A-4E36-AF73-95312F62F9CF}" type="CELLRANGE">
                      <a:rPr lang="en-US"/>
                      <a:pPr/>
                      <a:t>[CELLRANGE]</a:t>
                    </a:fld>
                    <a:endParaRPr lang="en-US" baseline="0"/>
                  </a:p>
                  <a:p>
                    <a:fld id="{5E29627D-CF24-42CC-A961-166EBA3A4AA8}" type="BUBBLESIZE">
                      <a:rPr lang="en-US"/>
                      <a:pPr/>
                      <a:t>[BUBBLE SIZE]</a:t>
                    </a:fld>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B9B7-4CA3-BC85-DD11CAFE5770}"/>
                </c:ext>
              </c:extLst>
            </c:dLbl>
            <c:dLbl>
              <c:idx val="1"/>
              <c:tx>
                <c:rich>
                  <a:bodyPr/>
                  <a:lstStyle/>
                  <a:p>
                    <a:fld id="{E89F5B0D-4000-46E7-ABA0-967C588C65D3}" type="CELLRANGE">
                      <a:rPr lang="en-US"/>
                      <a:pPr/>
                      <a:t>[CELLRANGE]</a:t>
                    </a:fld>
                    <a:endParaRPr lang="en-US" baseline="0"/>
                  </a:p>
                  <a:p>
                    <a:fld id="{F6DBE077-2426-4237-853D-41224C5F75FC}" type="BUBBLESIZE">
                      <a:rPr lang="en-US"/>
                      <a:pPr/>
                      <a:t>[BUBBLE SIZE]</a:t>
                    </a:fld>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B9B7-4CA3-BC85-DD11CAFE5770}"/>
                </c:ext>
              </c:extLst>
            </c:dLbl>
            <c:dLbl>
              <c:idx val="2"/>
              <c:tx>
                <c:rich>
                  <a:bodyPr/>
                  <a:lstStyle/>
                  <a:p>
                    <a:fld id="{7AD5A4B3-C243-445E-86DC-5B82AA77B905}" type="CELLRANGE">
                      <a:rPr lang="en-US"/>
                      <a:pPr/>
                      <a:t>[CELLRANGE]</a:t>
                    </a:fld>
                    <a:endParaRPr lang="en-US" baseline="0"/>
                  </a:p>
                  <a:p>
                    <a:fld id="{52D66F71-6EEC-4635-9F52-1D356D88AE1E}" type="BUBBLESIZE">
                      <a:rPr lang="en-US"/>
                      <a:pPr/>
                      <a:t>[BUBBLE SIZE]</a:t>
                    </a:fld>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B9B7-4CA3-BC85-DD11CAFE5770}"/>
                </c:ext>
              </c:extLst>
            </c:dLbl>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1"/>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'Tables and Graph&amp;Charts'!$AC$9:$AC$11</c:f>
              <c:numCache>
                <c:formatCode>0.0%</c:formatCode>
                <c:ptCount val="3"/>
                <c:pt idx="0">
                  <c:v>0.52108433734939763</c:v>
                </c:pt>
                <c:pt idx="1">
                  <c:v>0.53514056224899598</c:v>
                </c:pt>
                <c:pt idx="2">
                  <c:v>0.47489959839357432</c:v>
                </c:pt>
              </c:numCache>
            </c:numRef>
          </c:xVal>
          <c:yVal>
            <c:numRef>
              <c:f>'Tables and Graph&amp;Charts'!$AD$9:$AD$11</c:f>
              <c:numCache>
                <c:formatCode>0.0%</c:formatCode>
                <c:ptCount val="3"/>
                <c:pt idx="0">
                  <c:v>0.97373358348968109</c:v>
                </c:pt>
                <c:pt idx="1">
                  <c:v>0.97373358348968109</c:v>
                </c:pt>
                <c:pt idx="2">
                  <c:v>0.48592870544090055</c:v>
                </c:pt>
              </c:numCache>
            </c:numRef>
          </c:yVal>
          <c:bubbleSize>
            <c:numRef>
              <c:f>'Tables and Graph&amp;Charts'!$AE$9:$AE$11</c:f>
              <c:numCache>
                <c:formatCode>General</c:formatCode>
                <c:ptCount val="3"/>
                <c:pt idx="0">
                  <c:v>519</c:v>
                </c:pt>
                <c:pt idx="1">
                  <c:v>533</c:v>
                </c:pt>
                <c:pt idx="2">
                  <c:v>259</c:v>
                </c:pt>
              </c:numCache>
            </c:numRef>
          </c:bubbleSize>
          <c:bubble3D val="0"/>
          <c:extLst>
            <c:ext xmlns:c15="http://schemas.microsoft.com/office/drawing/2012/chart" uri="{02D57815-91ED-43cb-92C2-25804820EDAC}">
              <c15:datalabelsRange>
                <c15:f>'Tables and Graph&amp;Charts'!$AB$9:$AB$11</c15:f>
                <c15:dlblRangeCache>
                  <c:ptCount val="3"/>
                  <c:pt idx="0">
                    <c:v>NS1</c:v>
                  </c:pt>
                  <c:pt idx="1">
                    <c:v>IgG</c:v>
                  </c:pt>
                  <c:pt idx="2">
                    <c:v>IgM</c:v>
                  </c:pt>
                </c15:dlblRangeCache>
              </c15:datalabelsRange>
            </c:ext>
            <c:ext xmlns:c16="http://schemas.microsoft.com/office/drawing/2014/chart" uri="{C3380CC4-5D6E-409C-BE32-E72D297353CC}">
              <c16:uniqueId val="{00000006-B9B7-4CA3-BC85-DD11CAFE5770}"/>
            </c:ext>
          </c:extLst>
        </c:ser>
        <c:dLbls>
          <c:showLegendKey val="0"/>
          <c:showVal val="1"/>
          <c:showCatName val="0"/>
          <c:showSerName val="0"/>
          <c:showPercent val="0"/>
          <c:showBubbleSize val="0"/>
        </c:dLbls>
        <c:bubbleScale val="100"/>
        <c:showNegBubbles val="0"/>
        <c:axId val="1131125536"/>
        <c:axId val="1131125952"/>
      </c:bubbleChart>
      <c:valAx>
        <c:axId val="113112553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US"/>
                  <a:t>Positivity Rate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31125952"/>
        <c:crosses val="autoZero"/>
        <c:crossBetween val="midCat"/>
      </c:valAx>
      <c:valAx>
        <c:axId val="1131125952"/>
        <c:scaling>
          <c:orientation val="minMax"/>
          <c:max val="1.2"/>
          <c:min val="0"/>
        </c:scaling>
        <c:delete val="0"/>
        <c:axPos val="l"/>
        <c:title>
          <c:tx>
            <c:rich>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US"/>
                  <a:t>Effectiveness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3112553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[Dengue_data_Analysis.xlsm]Tables and Graph&amp;Charts!AreaType&amp;HouseTypeT</c:name>
    <c:fmtId val="1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flip="none" rotWithShape="1">
            <a:gsLst>
              <a:gs pos="100000">
                <a:srgbClr val="C00000">
                  <a:alpha val="61000"/>
                  <a:lumMod val="28000"/>
                  <a:lumOff val="72000"/>
                </a:srgbClr>
              </a:gs>
              <a:gs pos="0">
                <a:srgbClr val="FA5858"/>
              </a:gs>
            </a:gsLst>
            <a:lin ang="54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'Tables and Graph&amp;Charts'!$G$5</c:f>
              <c:strCache>
                <c:ptCount val="1"/>
                <c:pt idx="0">
                  <c:v>Total</c:v>
                </c:pt>
              </c:strCache>
            </c:strRef>
          </c:tx>
          <c:spPr>
            <a:gradFill flip="none" rotWithShape="1">
              <a:gsLst>
                <a:gs pos="100000">
                  <a:srgbClr val="C00000">
                    <a:alpha val="61000"/>
                    <a:lumMod val="28000"/>
                    <a:lumOff val="72000"/>
                  </a:srgbClr>
                </a:gs>
                <a:gs pos="0">
                  <a:srgbClr val="FA5858"/>
                </a:gs>
              </a:gsLst>
              <a:lin ang="54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'Tables and Graph&amp;Charts'!$E$6:$F$11</c:f>
              <c:multiLvlStrCache>
                <c:ptCount val="6"/>
                <c:lvl>
                  <c:pt idx="0">
                    <c:v>Building</c:v>
                  </c:pt>
                  <c:pt idx="1">
                    <c:v>Other</c:v>
                  </c:pt>
                  <c:pt idx="2">
                    <c:v>Tinshed</c:v>
                  </c:pt>
                  <c:pt idx="3">
                    <c:v>Building</c:v>
                  </c:pt>
                  <c:pt idx="4">
                    <c:v>Other</c:v>
                  </c:pt>
                  <c:pt idx="5">
                    <c:v>Tinshed</c:v>
                  </c:pt>
                </c:lvl>
                <c:lvl>
                  <c:pt idx="0">
                    <c:v>Developed</c:v>
                  </c:pt>
                  <c:pt idx="3">
                    <c:v>Undeveloped</c:v>
                  </c:pt>
                </c:lvl>
              </c:multiLvlStrCache>
            </c:multiLvlStrRef>
          </c:cat>
          <c:val>
            <c:numRef>
              <c:f>'Tables and Graph&amp;Charts'!$G$6:$G$11</c:f>
              <c:numCache>
                <c:formatCode>0.0%</c:formatCode>
                <c:ptCount val="6"/>
                <c:pt idx="0">
                  <c:v>0.17823639774859287</c:v>
                </c:pt>
                <c:pt idx="1">
                  <c:v>0.15009380863039401</c:v>
                </c:pt>
                <c:pt idx="2">
                  <c:v>0.15384615384615385</c:v>
                </c:pt>
                <c:pt idx="3">
                  <c:v>0.1801125703564728</c:v>
                </c:pt>
                <c:pt idx="4">
                  <c:v>0.16697936210131331</c:v>
                </c:pt>
                <c:pt idx="5">
                  <c:v>0.17073170731707318</c:v>
                </c:pt>
              </c:numCache>
            </c:numRef>
          </c:val>
          <c:extLst>
            <c:ext xmlns:c16="http://schemas.microsoft.com/office/drawing/2014/chart" uri="{C3380CC4-5D6E-409C-BE32-E72D297353CC}">
              <c16:uniqueId val="{00000000-0B22-4128-BF5D-14E35115CB77}"/>
            </c:ext>
          </c:extLst>
        </c:ser>
        <c:dLbls>
          <c:dLblPos val="outEnd"/>
          <c:showLegendKey val="0"/>
          <c:showVal val="1"/>
          <c:showCatName val="0"/>
          <c:showSerName val="0"/>
          <c:showPercent val="0"/>
          <c:showBubbleSize val="0"/>
        </c:dLbls>
        <c:gapWidth val="100"/>
        <c:overlap val="-27"/>
        <c:axId val="1345829984"/>
        <c:axId val="1345830816"/>
      </c:barChart>
      <c:catAx>
        <c:axId val="13458299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45830816"/>
        <c:crosses val="autoZero"/>
        <c:auto val="1"/>
        <c:lblAlgn val="ctr"/>
        <c:lblOffset val="100"/>
        <c:noMultiLvlLbl val="0"/>
      </c:catAx>
      <c:valAx>
        <c:axId val="1345830816"/>
        <c:scaling>
          <c:orientation val="minMax"/>
        </c:scaling>
        <c:delete val="1"/>
        <c:axPos val="l"/>
        <c:numFmt formatCode="0.0%" sourceLinked="1"/>
        <c:majorTickMark val="none"/>
        <c:minorTickMark val="none"/>
        <c:tickLblPos val="nextTo"/>
        <c:crossAx val="1345829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[Dengue_data_Analysis.xlsm]Tables and Graph&amp;Charts!Gender&amp;AgeT</c:name>
    <c:fmtId val="2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flip="none" rotWithShape="1">
            <a:gsLst>
              <a:gs pos="11000">
                <a:srgbClr val="E3472D"/>
              </a:gs>
              <a:gs pos="100000">
                <a:srgbClr val="E59E7B"/>
              </a:gs>
            </a:gsLst>
            <a:path path="circle">
              <a:fillToRect l="50000" t="-80000" r="50000" b="180000"/>
            </a:path>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'Tables and Graph&amp;Charts'!$G$18</c:f>
              <c:strCache>
                <c:ptCount val="1"/>
                <c:pt idx="0">
                  <c:v>Total</c:v>
                </c:pt>
              </c:strCache>
            </c:strRef>
          </c:tx>
          <c:spPr>
            <a:gradFill flip="none" rotWithShape="1">
              <a:gsLst>
                <a:gs pos="11000">
                  <a:srgbClr val="E3472D"/>
                </a:gs>
                <a:gs pos="100000">
                  <a:srgbClr val="E59E7B"/>
                </a:gs>
              </a:gsLst>
              <a:path path="circle">
                <a:fillToRect l="50000" t="-80000" r="50000" b="180000"/>
              </a:path>
              <a:tileRect/>
            </a:gra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cmpd="sng">
                <a:gradFill>
                  <a:gsLst>
                    <a:gs pos="0">
                      <a:srgbClr val="FF0000"/>
                    </a:gs>
                    <a:gs pos="24000">
                      <a:srgbClr val="F1E7C1"/>
                    </a:gs>
                  </a:gsLst>
                  <a:lin ang="5400000" scaled="1"/>
                </a:gradFill>
                <a:prstDash val="solid"/>
              </a:ln>
              <a:effectLst/>
            </c:spPr>
            <c:trendlineType val="movingAvg"/>
            <c:period val="2"/>
            <c:dispRSqr val="0"/>
            <c:dispEq val="0"/>
          </c:trendline>
          <c:cat>
            <c:multiLvlStrRef>
              <c:f>'Tables and Graph&amp;Charts'!$E$19:$F$28</c:f>
              <c:multiLvlStrCache>
                <c:ptCount val="10"/>
                <c:lvl>
                  <c:pt idx="0">
                    <c:v>0-10</c:v>
                  </c:pt>
                  <c:pt idx="1">
                    <c:v>11-18</c:v>
                  </c:pt>
                  <c:pt idx="2">
                    <c:v>19-30</c:v>
                  </c:pt>
                  <c:pt idx="3">
                    <c:v>31-60</c:v>
                  </c:pt>
                  <c:pt idx="4">
                    <c:v>above 60</c:v>
                  </c:pt>
                  <c:pt idx="5">
                    <c:v>0-10</c:v>
                  </c:pt>
                  <c:pt idx="6">
                    <c:v>11-18</c:v>
                  </c:pt>
                  <c:pt idx="7">
                    <c:v>19-30</c:v>
                  </c:pt>
                  <c:pt idx="8">
                    <c:v>31-60</c:v>
                  </c:pt>
                  <c:pt idx="9">
                    <c:v>above 60</c:v>
                  </c:pt>
                </c:lvl>
                <c:lvl>
                  <c:pt idx="0">
                    <c:v>Female</c:v>
                  </c:pt>
                  <c:pt idx="5">
                    <c:v>Male</c:v>
                  </c:pt>
                </c:lvl>
              </c:multiLvlStrCache>
            </c:multiLvlStrRef>
          </c:cat>
          <c:val>
            <c:numRef>
              <c:f>'Tables and Graph&amp;Charts'!$G$19:$G$28</c:f>
              <c:numCache>
                <c:formatCode>0.0%</c:formatCode>
                <c:ptCount val="10"/>
                <c:pt idx="0">
                  <c:v>4.3151969981238276E-2</c:v>
                </c:pt>
                <c:pt idx="1">
                  <c:v>8.6303939962476553E-2</c:v>
                </c:pt>
                <c:pt idx="2">
                  <c:v>9.3808630393996242E-2</c:v>
                </c:pt>
                <c:pt idx="3">
                  <c:v>0.27016885553470921</c:v>
                </c:pt>
                <c:pt idx="4">
                  <c:v>3.3771106941838651E-2</c:v>
                </c:pt>
                <c:pt idx="5">
                  <c:v>3.0018761726078799E-2</c:v>
                </c:pt>
                <c:pt idx="6">
                  <c:v>5.0656660412757973E-2</c:v>
                </c:pt>
                <c:pt idx="7">
                  <c:v>8.8180112570356475E-2</c:v>
                </c:pt>
                <c:pt idx="8">
                  <c:v>0.25703564727954969</c:v>
                </c:pt>
                <c:pt idx="9">
                  <c:v>4.6904315196998121E-2</c:v>
                </c:pt>
              </c:numCache>
            </c:numRef>
          </c:val>
          <c:extLst>
            <c:ext xmlns:c16="http://schemas.microsoft.com/office/drawing/2014/chart" uri="{C3380CC4-5D6E-409C-BE32-E72D297353CC}">
              <c16:uniqueId val="{00000000-3714-4864-9144-2316CED38A63}"/>
            </c:ext>
          </c:extLst>
        </c:ser>
        <c:dLbls>
          <c:dLblPos val="outEnd"/>
          <c:showLegendKey val="0"/>
          <c:showVal val="1"/>
          <c:showCatName val="0"/>
          <c:showSerName val="0"/>
          <c:showPercent val="0"/>
          <c:showBubbleSize val="0"/>
        </c:dLbls>
        <c:gapWidth val="65"/>
        <c:overlap val="-27"/>
        <c:axId val="261006112"/>
        <c:axId val="261006944"/>
      </c:barChart>
      <c:catAx>
        <c:axId val="261006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61006944"/>
        <c:crosses val="autoZero"/>
        <c:auto val="1"/>
        <c:lblAlgn val="ctr"/>
        <c:lblOffset val="100"/>
        <c:noMultiLvlLbl val="0"/>
      </c:catAx>
      <c:valAx>
        <c:axId val="261006944"/>
        <c:scaling>
          <c:orientation val="minMax"/>
        </c:scaling>
        <c:delete val="1"/>
        <c:axPos val="l"/>
        <c:numFmt formatCode="0.0%" sourceLinked="1"/>
        <c:majorTickMark val="none"/>
        <c:minorTickMark val="none"/>
        <c:tickLblPos val="nextTo"/>
        <c:crossAx val="2610061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[Dengue_data_Analysis.xlsm]Tables and Graph&amp;Charts!PositiveByGenderT</c:name>
    <c:fmtId val="12"/>
  </c:pivotSource>
  <c:chart>
    <c:autoTitleDeleted val="1"/>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0.13533641773405516"/>
              <c:y val="-3.728070068147359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2"/>
          </a:solidFill>
          <a:ln w="19050">
            <a:solidFill>
              <a:schemeClr val="lt1"/>
            </a:solidFill>
          </a:ln>
          <a:effectLst/>
        </c:spPr>
        <c:dLbl>
          <c:idx val="0"/>
          <c:layout>
            <c:manualLayout>
              <c:x val="-9.1679508787585809E-2"/>
              <c:y val="-4.970760090863140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19050">
            <a:solidFill>
              <a:schemeClr val="lt1"/>
            </a:solidFill>
          </a:ln>
          <a:effectLst/>
        </c:spPr>
        <c:dLbl>
          <c:idx val="0"/>
          <c:layout>
            <c:manualLayout>
              <c:x val="0.13533641773405516"/>
              <c:y val="-3.728070068147359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dLbl>
          <c:idx val="0"/>
          <c:layout>
            <c:manualLayout>
              <c:x val="-9.1679508787585809E-2"/>
              <c:y val="-4.970760090863140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lt1"/>
            </a:solidFill>
          </a:ln>
          <a:effectLst/>
        </c:spPr>
        <c:dLbl>
          <c:idx val="0"/>
          <c:layout>
            <c:manualLayout>
              <c:x val="0.13533641773405516"/>
              <c:y val="-3.728070068147359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dLbl>
          <c:idx val="0"/>
          <c:layout>
            <c:manualLayout>
              <c:x val="-9.1679508787585809E-2"/>
              <c:y val="-4.970760090863140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w="19050">
            <a:solidFill>
              <a:schemeClr val="lt1"/>
            </a:solidFill>
          </a:ln>
          <a:effectLst/>
        </c:spPr>
        <c:dLbl>
          <c:idx val="0"/>
          <c:layout>
            <c:manualLayout>
              <c:x val="0.13533641773405516"/>
              <c:y val="-3.728070068147359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19050">
            <a:solidFill>
              <a:schemeClr val="lt1"/>
            </a:solidFill>
          </a:ln>
          <a:effectLst/>
        </c:spPr>
        <c:dLbl>
          <c:idx val="0"/>
          <c:layout>
            <c:manualLayout>
              <c:x val="-9.1679508787585809E-2"/>
              <c:y val="-4.970760090863140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w="19050">
            <a:noFill/>
          </a:ln>
          <a:effectLst>
            <a:outerShdw blurRad="50800" dist="38100" dir="2700000" algn="tl" rotWithShape="0">
              <a:prstClr val="black">
                <a:alpha val="40000"/>
              </a:prstClr>
            </a:outerShdw>
          </a:effectLst>
        </c:spPr>
        <c:marker>
          <c:symbol val="none"/>
        </c:marker>
        <c:dLbl>
          <c:idx val="0"/>
          <c:spPr>
            <a:no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gradFill>
            <a:gsLst>
              <a:gs pos="30000">
                <a:srgbClr val="FFCD2F"/>
              </a:gs>
              <a:gs pos="100000">
                <a:schemeClr val="accent3">
                  <a:lumMod val="20000"/>
                  <a:lumOff val="80000"/>
                </a:schemeClr>
              </a:gs>
            </a:gsLst>
            <a:path path="circle">
              <a:fillToRect t="100000" r="100000"/>
            </a:path>
          </a:gradFill>
          <a:ln w="19050">
            <a:noFill/>
          </a:ln>
          <a:effectLst>
            <a:outerShdw blurRad="50800" dist="38100" dir="2700000" algn="tl" rotWithShape="0">
              <a:prstClr val="black">
                <a:alpha val="40000"/>
              </a:prstClr>
            </a:outerShdw>
          </a:effectLst>
        </c:spPr>
        <c:dLbl>
          <c:idx val="0"/>
          <c:layout>
            <c:manualLayout>
              <c:x val="0.13533641773405516"/>
              <c:y val="-3.7280700681473593E-2"/>
            </c:manualLayout>
          </c:layout>
          <c:spPr>
            <a:no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gradFill>
            <a:gsLst>
              <a:gs pos="30000">
                <a:srgbClr val="62D4B9"/>
              </a:gs>
              <a:gs pos="100000">
                <a:schemeClr val="accent1">
                  <a:lumMod val="75000"/>
                </a:schemeClr>
              </a:gs>
            </a:gsLst>
            <a:path path="circle">
              <a:fillToRect t="100000" r="100000"/>
            </a:path>
          </a:gradFill>
          <a:ln w="19050">
            <a:noFill/>
          </a:ln>
          <a:effectLst>
            <a:outerShdw blurRad="50800" dist="38100" dir="2700000" algn="tl" rotWithShape="0">
              <a:prstClr val="black">
                <a:alpha val="40000"/>
              </a:prstClr>
            </a:outerShdw>
          </a:effectLst>
        </c:spPr>
        <c:dLbl>
          <c:idx val="0"/>
          <c:layout>
            <c:manualLayout>
              <c:x val="-9.1679508787585809E-2"/>
              <c:y val="-4.9707600908631404E-2"/>
            </c:manualLayout>
          </c:layout>
          <c:spPr>
            <a:no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1"/>
          </a:solidFill>
          <a:ln w="19050">
            <a:solidFill>
              <a:schemeClr val="lt1"/>
            </a:solidFill>
          </a:ln>
          <a:effectLst/>
        </c:spPr>
      </c:pivotFmt>
    </c:pivotFmts>
    <c:plotArea>
      <c:layout>
        <c:manualLayout>
          <c:layoutTarget val="inner"/>
          <c:xMode val="edge"/>
          <c:yMode val="edge"/>
          <c:x val="0.2226888305628463"/>
          <c:y val="0.20273677654699943"/>
          <c:w val="0.53583692842992325"/>
          <c:h val="0.79013241988819194"/>
        </c:manualLayout>
      </c:layout>
      <c:doughnutChart>
        <c:varyColors val="1"/>
        <c:ser>
          <c:idx val="0"/>
          <c:order val="0"/>
          <c:tx>
            <c:strRef>
              <c:f>'Tables and Graph&amp;Charts'!$F$1</c:f>
              <c:strCache>
                <c:ptCount val="1"/>
                <c:pt idx="0">
                  <c:v>Total</c:v>
                </c:pt>
              </c:strCache>
            </c:strRef>
          </c:tx>
          <c:spPr>
            <a:ln>
              <a:noFill/>
            </a:ln>
            <a:effectLst>
              <a:outerShdw blurRad="50800" dist="38100" dir="2700000" algn="tl" rotWithShape="0">
                <a:prstClr val="black">
                  <a:alpha val="40000"/>
                </a:prstClr>
              </a:outerShdw>
            </a:effectLst>
          </c:spPr>
          <c:dPt>
            <c:idx val="0"/>
            <c:bubble3D val="0"/>
            <c:spPr>
              <a:gradFill>
                <a:gsLst>
                  <a:gs pos="30000">
                    <a:srgbClr val="FFCD2F"/>
                  </a:gs>
                  <a:gs pos="100000">
                    <a:schemeClr val="accent3">
                      <a:lumMod val="20000"/>
                      <a:lumOff val="80000"/>
                    </a:schemeClr>
                  </a:gs>
                </a:gsLst>
                <a:path path="circle">
                  <a:fillToRect t="100000" r="100000"/>
                </a:path>
              </a:gra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B5D0-40DE-B212-423AB52F6244}"/>
              </c:ext>
            </c:extLst>
          </c:dPt>
          <c:dPt>
            <c:idx val="1"/>
            <c:bubble3D val="0"/>
            <c:spPr>
              <a:gradFill>
                <a:gsLst>
                  <a:gs pos="30000">
                    <a:srgbClr val="62D4B9"/>
                  </a:gs>
                  <a:gs pos="100000">
                    <a:schemeClr val="accent1">
                      <a:lumMod val="75000"/>
                    </a:schemeClr>
                  </a:gs>
                </a:gsLst>
                <a:path path="circle">
                  <a:fillToRect t="100000" r="100000"/>
                </a:path>
              </a:gra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B5D0-40DE-B212-423AB52F6244}"/>
              </c:ext>
            </c:extLst>
          </c:dPt>
          <c:dLbls>
            <c:dLbl>
              <c:idx val="0"/>
              <c:layout>
                <c:manualLayout>
                  <c:x val="0.13533641773405516"/>
                  <c:y val="-3.728070068147359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B5D0-40DE-B212-423AB52F6244}"/>
                </c:ext>
              </c:extLst>
            </c:dLbl>
            <c:dLbl>
              <c:idx val="1"/>
              <c:layout>
                <c:manualLayout>
                  <c:x val="-9.1679508787585809E-2"/>
                  <c:y val="-4.9707600908631404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B5D0-40DE-B212-423AB52F6244}"/>
                </c:ext>
              </c:extLst>
            </c:dLbl>
            <c:spPr>
              <a:no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'Tables and Graph&amp;Charts'!$E$2:$E$3</c:f>
              <c:strCache>
                <c:ptCount val="2"/>
                <c:pt idx="0">
                  <c:v>Female</c:v>
                </c:pt>
                <c:pt idx="1">
                  <c:v>Male</c:v>
                </c:pt>
              </c:strCache>
            </c:strRef>
          </c:cat>
          <c:val>
            <c:numRef>
              <c:f>'Tables and Graph&amp;Charts'!$F$2:$F$3</c:f>
              <c:numCache>
                <c:formatCode>0.0%</c:formatCode>
                <c:ptCount val="2"/>
                <c:pt idx="0">
                  <c:v>0.5272045028142589</c:v>
                </c:pt>
                <c:pt idx="1">
                  <c:v>0.4727954971857411</c:v>
                </c:pt>
              </c:numCache>
            </c:numRef>
          </c:val>
          <c:extLst>
            <c:ext xmlns:c16="http://schemas.microsoft.com/office/drawing/2014/chart" uri="{C3380CC4-5D6E-409C-BE32-E72D297353CC}">
              <c16:uniqueId val="{00000004-B5D0-40DE-B212-423AB52F6244}"/>
            </c:ext>
          </c:extLst>
        </c:ser>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[Dengue_data_Analysis.xlsm]Tables and Graph&amp;Charts!AreaPositiveT</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flip="none" rotWithShape="1">
            <a:gsLst>
              <a:gs pos="100000">
                <a:schemeClr val="accent6">
                  <a:lumMod val="40000"/>
                  <a:lumOff val="60000"/>
                </a:schemeClr>
              </a:gs>
              <a:gs pos="0">
                <a:srgbClr val="E3472D"/>
              </a:gs>
            </a:gsLst>
            <a:path path="circle">
              <a:fillToRect l="100000" t="100000"/>
            </a:path>
            <a:tileRect r="-100000" b="-100000"/>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'Tables and Graph&amp;Charts'!$B$8</c:f>
              <c:strCache>
                <c:ptCount val="1"/>
                <c:pt idx="0">
                  <c:v>Total</c:v>
                </c:pt>
              </c:strCache>
            </c:strRef>
          </c:tx>
          <c:spPr>
            <a:gradFill flip="none" rotWithShape="1">
              <a:gsLst>
                <a:gs pos="100000">
                  <a:schemeClr val="accent6">
                    <a:lumMod val="40000"/>
                    <a:lumOff val="60000"/>
                  </a:schemeClr>
                </a:gs>
                <a:gs pos="0">
                  <a:srgbClr val="E3472D"/>
                </a:gs>
              </a:gsLst>
              <a:path path="circle">
                <a:fillToRect l="100000" t="100000"/>
              </a:path>
              <a:tileRect r="-100000" b="-100000"/>
            </a:gra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 and Graph&amp;Charts'!$A$9:$A$18</c:f>
              <c:strCache>
                <c:ptCount val="10"/>
                <c:pt idx="0">
                  <c:v>Jatrabari</c:v>
                </c:pt>
                <c:pt idx="1">
                  <c:v>Demra</c:v>
                </c:pt>
                <c:pt idx="2">
                  <c:v>Tejgaon</c:v>
                </c:pt>
                <c:pt idx="3">
                  <c:v>Bangshal</c:v>
                </c:pt>
                <c:pt idx="4">
                  <c:v>Mohammadpur</c:v>
                </c:pt>
                <c:pt idx="5">
                  <c:v>Mirpur</c:v>
                </c:pt>
                <c:pt idx="6">
                  <c:v>Kadamtali</c:v>
                </c:pt>
                <c:pt idx="7">
                  <c:v>Badda</c:v>
                </c:pt>
                <c:pt idx="8">
                  <c:v>Kafrul</c:v>
                </c:pt>
                <c:pt idx="9">
                  <c:v>Dhanmondi</c:v>
                </c:pt>
              </c:strCache>
            </c:strRef>
          </c:cat>
          <c:val>
            <c:numRef>
              <c:f>'Tables and Graph&amp;Charts'!$B$9:$B$18</c:f>
              <c:numCache>
                <c:formatCode>General</c:formatCode>
                <c:ptCount val="10"/>
                <c:pt idx="0">
                  <c:v>31</c:v>
                </c:pt>
                <c:pt idx="1">
                  <c:v>26</c:v>
                </c:pt>
                <c:pt idx="2">
                  <c:v>24</c:v>
                </c:pt>
                <c:pt idx="3">
                  <c:v>24</c:v>
                </c:pt>
                <c:pt idx="4">
                  <c:v>20</c:v>
                </c:pt>
                <c:pt idx="5">
                  <c:v>19</c:v>
                </c:pt>
                <c:pt idx="6">
                  <c:v>19</c:v>
                </c:pt>
                <c:pt idx="7">
                  <c:v>17</c:v>
                </c:pt>
                <c:pt idx="8">
                  <c:v>17</c:v>
                </c:pt>
                <c:pt idx="9">
                  <c:v>17</c:v>
                </c:pt>
              </c:numCache>
            </c:numRef>
          </c:val>
          <c:extLst>
            <c:ext xmlns:c16="http://schemas.microsoft.com/office/drawing/2014/chart" uri="{C3380CC4-5D6E-409C-BE32-E72D297353CC}">
              <c16:uniqueId val="{00000000-0C04-4E2F-9266-B6EFBC4177AA}"/>
            </c:ext>
          </c:extLst>
        </c:ser>
        <c:dLbls>
          <c:dLblPos val="outEnd"/>
          <c:showLegendKey val="0"/>
          <c:showVal val="1"/>
          <c:showCatName val="0"/>
          <c:showSerName val="0"/>
          <c:showPercent val="0"/>
          <c:showBubbleSize val="0"/>
        </c:dLbls>
        <c:gapWidth val="56"/>
        <c:axId val="1143683744"/>
        <c:axId val="1143685824"/>
      </c:barChart>
      <c:catAx>
        <c:axId val="11436837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43685824"/>
        <c:crosses val="autoZero"/>
        <c:auto val="1"/>
        <c:lblAlgn val="ctr"/>
        <c:lblOffset val="100"/>
        <c:noMultiLvlLbl val="0"/>
      </c:catAx>
      <c:valAx>
        <c:axId val="1143685824"/>
        <c:scaling>
          <c:orientation val="minMax"/>
        </c:scaling>
        <c:delete val="1"/>
        <c:axPos val="b"/>
        <c:numFmt formatCode="General" sourceLinked="1"/>
        <c:majorTickMark val="none"/>
        <c:minorTickMark val="none"/>
        <c:tickLblPos val="nextTo"/>
        <c:crossAx val="11436837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145358111494568E-2"/>
          <c:y val="0"/>
          <c:w val="0.87911346531558021"/>
          <c:h val="0.79528549741087085"/>
        </c:manualLayout>
      </c:layout>
      <c:bubbleChart>
        <c:varyColors val="1"/>
        <c:dLbls>
          <c:showLegendKey val="0"/>
          <c:showVal val="1"/>
          <c:showCatName val="0"/>
          <c:showSerName val="0"/>
          <c:showPercent val="0"/>
          <c:showBubbleSize val="0"/>
        </c:dLbls>
        <c:bubbleScale val="100"/>
        <c:showNegBubbles val="0"/>
        <c:axId val="1131125536"/>
        <c:axId val="1131125952"/>
      </c:bubbleChart>
      <c:valAx>
        <c:axId val="1131125536"/>
        <c:scaling>
          <c:orientation val="minMax"/>
        </c:scaling>
        <c:delete val="1"/>
        <c:axPos val="b"/>
        <c:title>
          <c:tx>
            <c:rich>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US"/>
                  <a:t>Positivity Rate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0.0%" sourceLinked="1"/>
        <c:majorTickMark val="none"/>
        <c:minorTickMark val="none"/>
        <c:tickLblPos val="nextTo"/>
        <c:crossAx val="1131125952"/>
        <c:crosses val="autoZero"/>
        <c:crossBetween val="midCat"/>
      </c:valAx>
      <c:valAx>
        <c:axId val="1131125952"/>
        <c:scaling>
          <c:orientation val="minMax"/>
          <c:max val="1.2"/>
          <c:min val="0"/>
        </c:scaling>
        <c:delete val="1"/>
        <c:axPos val="l"/>
        <c:numFmt formatCode="0.0%" sourceLinked="1"/>
        <c:majorTickMark val="none"/>
        <c:minorTickMark val="none"/>
        <c:tickLblPos val="nextTo"/>
        <c:crossAx val="113112553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'Tables and Graph&amp;Charts'!$AT$3</c:f>
              <c:strCache>
                <c:ptCount val="1"/>
                <c:pt idx="0">
                  <c:v>14</c:v>
                </c:pt>
              </c:strCache>
            </c:strRef>
          </c:tx>
          <c:spPr>
            <a:gradFill flip="none" rotWithShape="1">
              <a:gsLst>
                <a:gs pos="0">
                  <a:srgbClr val="FFC000">
                    <a:lumMod val="99000"/>
                  </a:srgbClr>
                </a:gs>
                <a:gs pos="100000">
                  <a:srgbClr val="DD5B33">
                    <a:lumMod val="96000"/>
                    <a:lumOff val="4000"/>
                  </a:srgbClr>
                </a:gs>
              </a:gsLst>
              <a:lin ang="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 and Graph&amp;Charts'!$AS$4:$AS$12</c:f>
              <c:strCache>
                <c:ptCount val="9"/>
                <c:pt idx="0">
                  <c:v>Paltan</c:v>
                </c:pt>
                <c:pt idx="1">
                  <c:v>Ramna</c:v>
                </c:pt>
                <c:pt idx="2">
                  <c:v>Rampura</c:v>
                </c:pt>
                <c:pt idx="3">
                  <c:v>Sabujbagh</c:v>
                </c:pt>
                <c:pt idx="4">
                  <c:v>Shahbagh</c:v>
                </c:pt>
                <c:pt idx="5">
                  <c:v>Sher-e-Bangla Nagar</c:v>
                </c:pt>
                <c:pt idx="6">
                  <c:v>Shyampur</c:v>
                </c:pt>
                <c:pt idx="7">
                  <c:v>Sutrapur</c:v>
                </c:pt>
                <c:pt idx="8">
                  <c:v>Tejgaon</c:v>
                </c:pt>
              </c:strCache>
            </c:strRef>
          </c:cat>
          <c:val>
            <c:numRef>
              <c:f>'Tables and Graph&amp;Charts'!$AT$4:$AT$12</c:f>
              <c:numCache>
                <c:formatCode>General</c:formatCode>
                <c:ptCount val="9"/>
                <c:pt idx="0">
                  <c:v>14</c:v>
                </c:pt>
                <c:pt idx="1">
                  <c:v>10</c:v>
                </c:pt>
                <c:pt idx="2">
                  <c:v>14</c:v>
                </c:pt>
                <c:pt idx="3">
                  <c:v>15</c:v>
                </c:pt>
                <c:pt idx="4">
                  <c:v>11</c:v>
                </c:pt>
                <c:pt idx="5">
                  <c:v>9</c:v>
                </c:pt>
                <c:pt idx="6">
                  <c:v>9</c:v>
                </c:pt>
                <c:pt idx="7">
                  <c:v>10</c:v>
                </c:pt>
                <c:pt idx="8">
                  <c:v>24</c:v>
                </c:pt>
              </c:numCache>
            </c:numRef>
          </c:val>
          <c:extLst>
            <c:ext xmlns:c16="http://schemas.microsoft.com/office/drawing/2014/chart" uri="{C3380CC4-5D6E-409C-BE32-E72D297353CC}">
              <c16:uniqueId val="{00000000-0E48-4AF6-97B5-BAB8DD08E668}"/>
            </c:ext>
          </c:extLst>
        </c:ser>
        <c:dLbls>
          <c:dLblPos val="outEnd"/>
          <c:showLegendKey val="0"/>
          <c:showVal val="1"/>
          <c:showCatName val="0"/>
          <c:showSerName val="0"/>
          <c:showPercent val="0"/>
          <c:showBubbleSize val="0"/>
        </c:dLbls>
        <c:gapWidth val="42"/>
        <c:axId val="465911135"/>
        <c:axId val="360341295"/>
      </c:barChart>
      <c:catAx>
        <c:axId val="4659111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60341295"/>
        <c:crosses val="autoZero"/>
        <c:auto val="1"/>
        <c:lblAlgn val="ctr"/>
        <c:lblOffset val="100"/>
        <c:noMultiLvlLbl val="0"/>
      </c:catAx>
      <c:valAx>
        <c:axId val="360341295"/>
        <c:scaling>
          <c:orientation val="minMax"/>
        </c:scaling>
        <c:delete val="1"/>
        <c:axPos val="b"/>
        <c:numFmt formatCode="General" sourceLinked="1"/>
        <c:majorTickMark val="none"/>
        <c:minorTickMark val="none"/>
        <c:tickLblPos val="nextTo"/>
        <c:crossAx val="4659111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[Dengue_data_Analysis.xlsm]Tables and Graph&amp;Charts!TotalByAtype</c:name>
    <c:fmtId val="3"/>
  </c:pivotSource>
  <c:chart>
    <c:autoTitleDeleted val="1"/>
    <c:pivotFmts>
      <c:pivotFmt>
        <c:idx val="0"/>
        <c:spPr>
          <a:solidFill>
            <a:schemeClr val="accent1"/>
          </a:solidFill>
          <a:ln w="19050">
            <a:solidFill>
              <a:schemeClr val="lt1"/>
            </a:solidFill>
          </a:ln>
          <a:effectLst/>
        </c:spPr>
        <c:marker>
          <c:symbol val="none"/>
        </c:marker>
        <c:dLbl>
          <c:idx val="0"/>
          <c:numFmt formatCode="#,##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marker>
          <c:symbol val="none"/>
        </c:marker>
        <c:dLbl>
          <c:idx val="0"/>
          <c:numFmt formatCode="#,##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numFmt formatCode="#,##0" sourceLinked="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rgbClr val="D86D38"/>
          </a:solidFill>
          <a:ln w="19050">
            <a:solidFill>
              <a:schemeClr val="lt1"/>
            </a:solidFill>
          </a:ln>
          <a:effectLst/>
        </c:spPr>
        <c:dLbl>
          <c:idx val="0"/>
          <c:numFmt formatCode="#,##0" sourceLinked="0"/>
          <c:spPr>
            <a:noFill/>
            <a:ln>
              <a:no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3045071952212868"/>
                  <c:h val="0.2807823277857695"/>
                </c:manualLayout>
              </c15:layout>
            </c:ext>
          </c:extLst>
        </c:dLbl>
      </c:pivotFmt>
      <c:pivotFmt>
        <c:idx val="6"/>
        <c:spPr>
          <a:solidFill>
            <a:srgbClr val="F19A93"/>
          </a:solidFill>
          <a:ln w="19050">
            <a:solidFill>
              <a:schemeClr val="lt1"/>
            </a:solidFill>
          </a:ln>
          <a:effectLst/>
        </c:spPr>
        <c:dLbl>
          <c:idx val="0"/>
          <c:layout>
            <c:manualLayout>
              <c:x val="5.3121036851633108E-2"/>
              <c:y val="-2.4844378249863464E-2"/>
            </c:manualLayout>
          </c:layout>
          <c:numFmt formatCode="#,##0" sourceLinked="0"/>
          <c:spPr>
            <a:noFill/>
            <a:ln>
              <a:no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40158656892026429"/>
                  <c:h val="0.2807823277857695"/>
                </c:manualLayout>
              </c15:layout>
            </c:ext>
          </c:extLst>
        </c:dLbl>
      </c:pivotFmt>
    </c:pivotFmts>
    <c:plotArea>
      <c:layout>
        <c:manualLayout>
          <c:layoutTarget val="inner"/>
          <c:xMode val="edge"/>
          <c:yMode val="edge"/>
          <c:x val="3.5802496518921055E-2"/>
          <c:y val="0"/>
          <c:w val="0.82159624413145538"/>
          <c:h val="1"/>
        </c:manualLayout>
      </c:layout>
      <c:doughnutChart>
        <c:varyColors val="1"/>
        <c:ser>
          <c:idx val="0"/>
          <c:order val="0"/>
          <c:tx>
            <c:strRef>
              <c:f>'Tables and Graph&amp;Charts'!$BA$22</c:f>
              <c:strCache>
                <c:ptCount val="1"/>
                <c:pt idx="0">
                  <c:v>Total</c:v>
                </c:pt>
              </c:strCache>
            </c:strRef>
          </c:tx>
          <c:dPt>
            <c:idx val="0"/>
            <c:bubble3D val="0"/>
            <c:spPr>
              <a:solidFill>
                <a:srgbClr val="D86D38"/>
              </a:solidFill>
              <a:ln w="19050">
                <a:solidFill>
                  <a:schemeClr val="lt1"/>
                </a:solidFill>
              </a:ln>
              <a:effectLst/>
            </c:spPr>
            <c:extLst>
              <c:ext xmlns:c16="http://schemas.microsoft.com/office/drawing/2014/chart" uri="{C3380CC4-5D6E-409C-BE32-E72D297353CC}">
                <c16:uniqueId val="{00000001-7C7F-4FD5-8479-69C158FF1221}"/>
              </c:ext>
            </c:extLst>
          </c:dPt>
          <c:dPt>
            <c:idx val="1"/>
            <c:bubble3D val="0"/>
            <c:spPr>
              <a:solidFill>
                <a:srgbClr val="F19A93"/>
              </a:solidFill>
              <a:ln w="19050">
                <a:solidFill>
                  <a:schemeClr val="lt1"/>
                </a:solidFill>
              </a:ln>
              <a:effectLst/>
            </c:spPr>
            <c:extLst>
              <c:ext xmlns:c16="http://schemas.microsoft.com/office/drawing/2014/chart" uri="{C3380CC4-5D6E-409C-BE32-E72D297353CC}">
                <c16:uniqueId val="{00000003-7C7F-4FD5-8479-69C158FF1221}"/>
              </c:ext>
            </c:extLst>
          </c:dPt>
          <c:dLbls>
            <c:dLbl>
              <c:idx val="0"/>
              <c:numFmt formatCode="#,##0" sourceLinked="0"/>
              <c:spPr>
                <a:noFill/>
                <a:ln>
                  <a:no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3045071952212868"/>
                      <c:h val="0.2807823277857695"/>
                    </c:manualLayout>
                  </c15:layout>
                </c:ext>
                <c:ext xmlns:c16="http://schemas.microsoft.com/office/drawing/2014/chart" uri="{C3380CC4-5D6E-409C-BE32-E72D297353CC}">
                  <c16:uniqueId val="{00000001-7C7F-4FD5-8479-69C158FF1221}"/>
                </c:ext>
              </c:extLst>
            </c:dLbl>
            <c:dLbl>
              <c:idx val="1"/>
              <c:layout>
                <c:manualLayout>
                  <c:x val="5.3121036851633108E-2"/>
                  <c:y val="-2.4844378249863464E-2"/>
                </c:manualLayout>
              </c:layout>
              <c:numFmt formatCode="#,##0" sourceLinked="0"/>
              <c:spPr>
                <a:noFill/>
                <a:ln>
                  <a:no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40158656892026429"/>
                      <c:h val="0.2807823277857695"/>
                    </c:manualLayout>
                  </c15:layout>
                </c:ext>
                <c:ext xmlns:c16="http://schemas.microsoft.com/office/drawing/2014/chart" uri="{C3380CC4-5D6E-409C-BE32-E72D297353CC}">
                  <c16:uniqueId val="{00000003-7C7F-4FD5-8479-69C158FF1221}"/>
                </c:ext>
              </c:extLst>
            </c:dLbl>
            <c:numFmt formatCode="#,##0" sourceLinked="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'Tables and Graph&amp;Charts'!$AZ$23:$AZ$24</c:f>
              <c:strCache>
                <c:ptCount val="2"/>
                <c:pt idx="0">
                  <c:v>Developed</c:v>
                </c:pt>
                <c:pt idx="1">
                  <c:v>Undeveloped</c:v>
                </c:pt>
              </c:strCache>
            </c:strRef>
          </c:cat>
          <c:val>
            <c:numRef>
              <c:f>'Tables and Graph&amp;Charts'!$BA$23:$BA$24</c:f>
              <c:numCache>
                <c:formatCode>General</c:formatCode>
                <c:ptCount val="2"/>
                <c:pt idx="0">
                  <c:v>257</c:v>
                </c:pt>
                <c:pt idx="1">
                  <c:v>276</c:v>
                </c:pt>
              </c:numCache>
            </c:numRef>
          </c:val>
          <c:extLst>
            <c:ext xmlns:c16="http://schemas.microsoft.com/office/drawing/2014/chart" uri="{C3380CC4-5D6E-409C-BE32-E72D297353CC}">
              <c16:uniqueId val="{00000004-7C7F-4FD5-8479-69C158FF1221}"/>
            </c:ext>
          </c:extLst>
        </c:ser>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[Dengue_data_Analysis.xlsm]Tables and Graph&amp;Charts!AgeGroupPositiveT</c:name>
    <c:fmtId val="1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91000">
                <a:srgbClr val="FFC000"/>
              </a:gs>
              <a:gs pos="0">
                <a:srgbClr val="DD5B33"/>
              </a:gs>
            </a:gsLst>
            <a:lin ang="54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'Tables and Graph&amp;Charts'!$BA$10</c:f>
              <c:strCache>
                <c:ptCount val="1"/>
                <c:pt idx="0">
                  <c:v>Total</c:v>
                </c:pt>
              </c:strCache>
            </c:strRef>
          </c:tx>
          <c:spPr>
            <a:gradFill flip="none" rotWithShape="1">
              <a:gsLst>
                <a:gs pos="91000">
                  <a:srgbClr val="FFC000"/>
                </a:gs>
                <a:gs pos="0">
                  <a:srgbClr val="DD5B33"/>
                </a:gs>
              </a:gsLst>
              <a:lin ang="54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movingAvg"/>
            <c:period val="2"/>
            <c:dispRSqr val="0"/>
            <c:dispEq val="0"/>
          </c:trendline>
          <c:trendline>
            <c:spPr>
              <a:ln w="19050" cap="rnd">
                <a:gradFill flip="none" rotWithShape="1">
                  <a:gsLst>
                    <a:gs pos="0">
                      <a:srgbClr val="FF0000"/>
                    </a:gs>
                    <a:gs pos="100000">
                      <a:srgbClr val="F19A93"/>
                    </a:gs>
                  </a:gsLst>
                  <a:lin ang="5400000" scaled="1"/>
                  <a:tileRect/>
                </a:gradFill>
                <a:prstDash val="solid"/>
              </a:ln>
              <a:effectLst/>
            </c:spPr>
            <c:trendlineType val="movingAvg"/>
            <c:period val="2"/>
            <c:dispRSqr val="0"/>
            <c:dispEq val="0"/>
          </c:trendline>
          <c:cat>
            <c:strRef>
              <c:f>'Tables and Graph&amp;Charts'!$AZ$11:$AZ$15</c:f>
              <c:strCache>
                <c:ptCount val="5"/>
                <c:pt idx="0">
                  <c:v>0-10</c:v>
                </c:pt>
                <c:pt idx="1">
                  <c:v>11-18</c:v>
                </c:pt>
                <c:pt idx="2">
                  <c:v>19-30</c:v>
                </c:pt>
                <c:pt idx="3">
                  <c:v>31-60</c:v>
                </c:pt>
                <c:pt idx="4">
                  <c:v>above 60</c:v>
                </c:pt>
              </c:strCache>
            </c:strRef>
          </c:cat>
          <c:val>
            <c:numRef>
              <c:f>'Tables and Graph&amp;Charts'!$BA$11:$BA$15</c:f>
              <c:numCache>
                <c:formatCode>0</c:formatCode>
                <c:ptCount val="5"/>
                <c:pt idx="0">
                  <c:v>39</c:v>
                </c:pt>
                <c:pt idx="1">
                  <c:v>73</c:v>
                </c:pt>
                <c:pt idx="2">
                  <c:v>97</c:v>
                </c:pt>
                <c:pt idx="3">
                  <c:v>281</c:v>
                </c:pt>
                <c:pt idx="4">
                  <c:v>43</c:v>
                </c:pt>
              </c:numCache>
            </c:numRef>
          </c:val>
          <c:extLst>
            <c:ext xmlns:c16="http://schemas.microsoft.com/office/drawing/2014/chart" uri="{C3380CC4-5D6E-409C-BE32-E72D297353CC}">
              <c16:uniqueId val="{00000000-BF15-4084-AF8A-8296B8872C35}"/>
            </c:ext>
          </c:extLst>
        </c:ser>
        <c:dLbls>
          <c:dLblPos val="outEnd"/>
          <c:showLegendKey val="0"/>
          <c:showVal val="1"/>
          <c:showCatName val="0"/>
          <c:showSerName val="0"/>
          <c:showPercent val="0"/>
          <c:showBubbleSize val="0"/>
        </c:dLbls>
        <c:gapWidth val="99"/>
        <c:axId val="484932591"/>
        <c:axId val="484941327"/>
      </c:barChart>
      <c:catAx>
        <c:axId val="484932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84941327"/>
        <c:crosses val="autoZero"/>
        <c:auto val="1"/>
        <c:lblAlgn val="ctr"/>
        <c:lblOffset val="100"/>
        <c:noMultiLvlLbl val="0"/>
      </c:catAx>
      <c:valAx>
        <c:axId val="484941327"/>
        <c:scaling>
          <c:orientation val="minMax"/>
        </c:scaling>
        <c:delete val="1"/>
        <c:axPos val="l"/>
        <c:numFmt formatCode="0" sourceLinked="1"/>
        <c:majorTickMark val="none"/>
        <c:minorTickMark val="none"/>
        <c:tickLblPos val="nextTo"/>
        <c:crossAx val="4849325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[Dengue_data_Analysis.xlsm]Tables and Graph&amp;Charts!RiskTypeT</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rgbClr val="FFC000"/>
              </a:gs>
              <a:gs pos="100000">
                <a:srgbClr val="E3472D"/>
              </a:gs>
            </a:gsLst>
            <a:lin ang="162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7619047619047616E-2"/>
          <c:y val="8.943089430894309E-2"/>
          <c:w val="0.90476190476190477"/>
          <c:h val="0.7219653031175981"/>
        </c:manualLayout>
      </c:layout>
      <c:barChart>
        <c:barDir val="col"/>
        <c:grouping val="clustered"/>
        <c:varyColors val="0"/>
        <c:ser>
          <c:idx val="0"/>
          <c:order val="0"/>
          <c:tx>
            <c:strRef>
              <c:f>'Tables and Graph&amp;Charts'!$AI$29</c:f>
              <c:strCache>
                <c:ptCount val="1"/>
                <c:pt idx="0">
                  <c:v>Total</c:v>
                </c:pt>
              </c:strCache>
            </c:strRef>
          </c:tx>
          <c:spPr>
            <a:gradFill>
              <a:gsLst>
                <a:gs pos="0">
                  <a:srgbClr val="FFC000"/>
                </a:gs>
                <a:gs pos="100000">
                  <a:srgbClr val="E3472D"/>
                </a:gs>
              </a:gsLst>
              <a:lin ang="16200000" scaled="1"/>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 and Graph&amp;Charts'!$AH$30:$AH$32</c:f>
              <c:strCache>
                <c:ptCount val="3"/>
                <c:pt idx="0">
                  <c:v>Dengue Negative</c:v>
                </c:pt>
                <c:pt idx="1">
                  <c:v>High Risk</c:v>
                </c:pt>
                <c:pt idx="2">
                  <c:v>Low Risk</c:v>
                </c:pt>
              </c:strCache>
            </c:strRef>
          </c:cat>
          <c:val>
            <c:numRef>
              <c:f>'Tables and Graph&amp;Charts'!$AI$30:$AI$32</c:f>
              <c:numCache>
                <c:formatCode>General</c:formatCode>
                <c:ptCount val="3"/>
                <c:pt idx="0">
                  <c:v>463</c:v>
                </c:pt>
                <c:pt idx="1">
                  <c:v>519</c:v>
                </c:pt>
                <c:pt idx="2">
                  <c:v>13</c:v>
                </c:pt>
              </c:numCache>
            </c:numRef>
          </c:val>
          <c:extLst>
            <c:ext xmlns:c16="http://schemas.microsoft.com/office/drawing/2014/chart" uri="{C3380CC4-5D6E-409C-BE32-E72D297353CC}">
              <c16:uniqueId val="{00000000-C68B-4246-A579-2AF70E832597}"/>
            </c:ext>
          </c:extLst>
        </c:ser>
        <c:dLbls>
          <c:dLblPos val="outEnd"/>
          <c:showLegendKey val="0"/>
          <c:showVal val="1"/>
          <c:showCatName val="0"/>
          <c:showSerName val="0"/>
          <c:showPercent val="0"/>
          <c:showBubbleSize val="0"/>
        </c:dLbls>
        <c:gapWidth val="100"/>
        <c:overlap val="-27"/>
        <c:axId val="1151624016"/>
        <c:axId val="1151620688"/>
      </c:barChart>
      <c:catAx>
        <c:axId val="115162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1620688"/>
        <c:crosses val="autoZero"/>
        <c:auto val="1"/>
        <c:lblAlgn val="ctr"/>
        <c:lblOffset val="100"/>
        <c:noMultiLvlLbl val="0"/>
      </c:catAx>
      <c:valAx>
        <c:axId val="1151620688"/>
        <c:scaling>
          <c:orientation val="minMax"/>
        </c:scaling>
        <c:delete val="1"/>
        <c:axPos val="l"/>
        <c:numFmt formatCode="General" sourceLinked="1"/>
        <c:majorTickMark val="none"/>
        <c:minorTickMark val="none"/>
        <c:tickLblPos val="nextTo"/>
        <c:crossAx val="1151624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Test effectiveness</a:t>
            </a:r>
            <a:r>
              <a:rPr lang="en-US" baseline="0"/>
              <a:t> over Positivity rate with Actual positive cases</a:t>
            </a:r>
            <a:endParaRPr lang="en-US"/>
          </a:p>
        </c:rich>
      </c:tx>
      <c:layout>
        <c:manualLayout>
          <c:xMode val="edge"/>
          <c:yMode val="edge"/>
          <c:x val="0.12161789151356081"/>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1"/>
        <c:ser>
          <c:idx val="0"/>
          <c:order val="0"/>
          <c:invertIfNegative val="0"/>
          <c:dPt>
            <c:idx val="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3-92E0-4232-8C07-F5808F8D6B70}"/>
              </c:ext>
            </c:extLst>
          </c:dPt>
          <c:dPt>
            <c:idx val="1"/>
            <c:invertIfNegative val="0"/>
            <c:bubble3D val="0"/>
            <c:spPr>
              <a:solidFill>
                <a:srgbClr val="FF0000">
                  <a:alpha val="55000"/>
                </a:srgbClr>
              </a:solidFill>
              <a:ln>
                <a:noFill/>
              </a:ln>
              <a:effectLst/>
            </c:spPr>
            <c:extLst>
              <c:ext xmlns:c16="http://schemas.microsoft.com/office/drawing/2014/chart" uri="{C3380CC4-5D6E-409C-BE32-E72D297353CC}">
                <c16:uniqueId val="{00000004-92E0-4232-8C07-F5808F8D6B70}"/>
              </c:ext>
            </c:extLst>
          </c:dPt>
          <c:dPt>
            <c:idx val="2"/>
            <c:invertIfNegative val="0"/>
            <c:bubble3D val="0"/>
            <c:spPr>
              <a:solidFill>
                <a:schemeClr val="accent3">
                  <a:alpha val="75000"/>
                </a:schemeClr>
              </a:solidFill>
              <a:ln>
                <a:noFill/>
              </a:ln>
              <a:effectLst/>
            </c:spPr>
            <c:extLst>
              <c:ext xmlns:c16="http://schemas.microsoft.com/office/drawing/2014/chart" uri="{C3380CC4-5D6E-409C-BE32-E72D297353CC}">
                <c16:uniqueId val="{00000002-92E0-4232-8C07-F5808F8D6B70}"/>
              </c:ext>
            </c:extLst>
          </c:dPt>
          <c:dLbls>
            <c:dLbl>
              <c:idx val="0"/>
              <c:tx>
                <c:rich>
                  <a:bodyPr/>
                  <a:lstStyle/>
                  <a:p>
                    <a:fld id="{407A739D-711A-4E36-AF73-95312F62F9CF}" type="CELLRANGE">
                      <a:rPr lang="en-US"/>
                      <a:pPr/>
                      <a:t>[CELLRANGE]</a:t>
                    </a:fld>
                    <a:endParaRPr lang="en-US" baseline="0"/>
                  </a:p>
                  <a:p>
                    <a:fld id="{5E29627D-CF24-42CC-A961-166EBA3A4AA8}" type="BUBBLESIZE">
                      <a:rPr lang="en-US"/>
                      <a:pPr/>
                      <a:t>[BUBBLE SIZE]</a:t>
                    </a:fld>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92E0-4232-8C07-F5808F8D6B70}"/>
                </c:ext>
              </c:extLst>
            </c:dLbl>
            <c:dLbl>
              <c:idx val="1"/>
              <c:tx>
                <c:rich>
                  <a:bodyPr/>
                  <a:lstStyle/>
                  <a:p>
                    <a:fld id="{E89F5B0D-4000-46E7-ABA0-967C588C65D3}" type="CELLRANGE">
                      <a:rPr lang="en-US"/>
                      <a:pPr/>
                      <a:t>[CELLRANGE]</a:t>
                    </a:fld>
                    <a:endParaRPr lang="en-US" baseline="0"/>
                  </a:p>
                  <a:p>
                    <a:fld id="{F6DBE077-2426-4237-853D-41224C5F75FC}" type="BUBBLESIZE">
                      <a:rPr lang="en-US"/>
                      <a:pPr/>
                      <a:t>[BUBBLE SIZE]</a:t>
                    </a:fld>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92E0-4232-8C07-F5808F8D6B70}"/>
                </c:ext>
              </c:extLst>
            </c:dLbl>
            <c:dLbl>
              <c:idx val="2"/>
              <c:tx>
                <c:rich>
                  <a:bodyPr/>
                  <a:lstStyle/>
                  <a:p>
                    <a:fld id="{7AD5A4B3-C243-445E-86DC-5B82AA77B905}" type="CELLRANGE">
                      <a:rPr lang="en-US"/>
                      <a:pPr/>
                      <a:t>[CELLRANGE]</a:t>
                    </a:fld>
                    <a:endParaRPr lang="en-US" baseline="0"/>
                  </a:p>
                  <a:p>
                    <a:fld id="{52D66F71-6EEC-4635-9F52-1D356D88AE1E}" type="BUBBLESIZE">
                      <a:rPr lang="en-US"/>
                      <a:pPr/>
                      <a:t>[BUBBLE SIZE]</a:t>
                    </a:fld>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92E0-4232-8C07-F5808F8D6B7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1"/>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'Tables and Graph&amp;Charts'!$AC$9:$AC$11</c:f>
              <c:numCache>
                <c:formatCode>0.0%</c:formatCode>
                <c:ptCount val="3"/>
                <c:pt idx="0">
                  <c:v>0.52108433734939763</c:v>
                </c:pt>
                <c:pt idx="1">
                  <c:v>0.53514056224899598</c:v>
                </c:pt>
                <c:pt idx="2">
                  <c:v>0.47489959839357432</c:v>
                </c:pt>
              </c:numCache>
            </c:numRef>
          </c:xVal>
          <c:yVal>
            <c:numRef>
              <c:f>'Tables and Graph&amp;Charts'!$AD$9:$AD$11</c:f>
              <c:numCache>
                <c:formatCode>0.0%</c:formatCode>
                <c:ptCount val="3"/>
                <c:pt idx="0">
                  <c:v>0.97373358348968109</c:v>
                </c:pt>
                <c:pt idx="1">
                  <c:v>0.97373358348968109</c:v>
                </c:pt>
                <c:pt idx="2">
                  <c:v>0.48592870544090055</c:v>
                </c:pt>
              </c:numCache>
            </c:numRef>
          </c:yVal>
          <c:bubbleSize>
            <c:numRef>
              <c:f>'Tables and Graph&amp;Charts'!$AE$9:$AE$11</c:f>
              <c:numCache>
                <c:formatCode>General</c:formatCode>
                <c:ptCount val="3"/>
                <c:pt idx="0">
                  <c:v>519</c:v>
                </c:pt>
                <c:pt idx="1">
                  <c:v>533</c:v>
                </c:pt>
                <c:pt idx="2">
                  <c:v>259</c:v>
                </c:pt>
              </c:numCache>
            </c:numRef>
          </c:bubbleSize>
          <c:bubble3D val="0"/>
          <c:extLst>
            <c:ext xmlns:c15="http://schemas.microsoft.com/office/drawing/2012/chart" uri="{02D57815-91ED-43cb-92C2-25804820EDAC}">
              <c15:datalabelsRange>
                <c15:f>'Tables and Graph&amp;Charts'!$AB$9:$AB$11</c15:f>
                <c15:dlblRangeCache>
                  <c:ptCount val="3"/>
                  <c:pt idx="0">
                    <c:v>NS1</c:v>
                  </c:pt>
                  <c:pt idx="1">
                    <c:v>IgG</c:v>
                  </c:pt>
                  <c:pt idx="2">
                    <c:v>IgM</c:v>
                  </c:pt>
                </c15:dlblRangeCache>
              </c15:datalabelsRange>
            </c:ext>
            <c:ext xmlns:c16="http://schemas.microsoft.com/office/drawing/2014/chart" uri="{C3380CC4-5D6E-409C-BE32-E72D297353CC}">
              <c16:uniqueId val="{00000000-92E0-4232-8C07-F5808F8D6B70}"/>
            </c:ext>
          </c:extLst>
        </c:ser>
        <c:dLbls>
          <c:showLegendKey val="0"/>
          <c:showVal val="1"/>
          <c:showCatName val="0"/>
          <c:showSerName val="0"/>
          <c:showPercent val="0"/>
          <c:showBubbleSize val="0"/>
        </c:dLbls>
        <c:bubbleScale val="100"/>
        <c:showNegBubbles val="0"/>
        <c:axId val="1131125536"/>
        <c:axId val="1131125952"/>
      </c:bubbleChart>
      <c:valAx>
        <c:axId val="113112553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Positivity Rate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1125952"/>
        <c:crosses val="autoZero"/>
        <c:crossBetween val="midCat"/>
      </c:valAx>
      <c:valAx>
        <c:axId val="1131125952"/>
        <c:scaling>
          <c:orientation val="minMax"/>
          <c:max val="1.2"/>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Effectiveness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112553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[Dengue_data_Analysis.xlsm]Tables and Graph&amp;Charts!PositiveByGenderT</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solidFill>
                <a:latin typeface="+mn-lt"/>
                <a:ea typeface="+mn-ea"/>
                <a:cs typeface="+mn-cs"/>
              </a:defRPr>
            </a:pPr>
            <a:r>
              <a:rPr lang="en-US" sz="1400" b="0" i="0" baseline="0">
                <a:solidFill>
                  <a:sysClr val="windowText" lastClr="000000"/>
                </a:solidFill>
                <a:effectLst/>
              </a:rPr>
              <a:t>Dengue Case(Positive) Breakdown by Gender</a:t>
            </a:r>
            <a:endParaRPr lang="en-US" sz="1100">
              <a:solidFill>
                <a:sysClr val="windowText" lastClr="000000"/>
              </a:solidFill>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0.13533641773405516"/>
              <c:y val="-3.728070068147359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dLbl>
          <c:idx val="0"/>
          <c:layout>
            <c:manualLayout>
              <c:x val="-9.1679508787585809E-2"/>
              <c:y val="-4.970760090863140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268873620811214"/>
          <c:y val="0.27053361794522673"/>
          <c:w val="0.50223423684801238"/>
          <c:h val="0.71480263978672698"/>
        </c:manualLayout>
      </c:layout>
      <c:doughnutChart>
        <c:varyColors val="1"/>
        <c:ser>
          <c:idx val="0"/>
          <c:order val="0"/>
          <c:tx>
            <c:strRef>
              <c:f>'Tables and Graph&amp;Charts'!$F$1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10D6-42D6-86EC-CE6FC92FC60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263-4642-9E53-0516BB0488CF}"/>
              </c:ext>
            </c:extLst>
          </c:dPt>
          <c:dLbls>
            <c:dLbl>
              <c:idx val="0"/>
              <c:layout>
                <c:manualLayout>
                  <c:x val="0.13533641773405516"/>
                  <c:y val="-3.728070068147359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10D6-42D6-86EC-CE6FC92FC60A}"/>
                </c:ext>
              </c:extLst>
            </c:dLbl>
            <c:dLbl>
              <c:idx val="1"/>
              <c:layout>
                <c:manualLayout>
                  <c:x val="-9.1679508787585809E-2"/>
                  <c:y val="-4.9707600908631404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B263-4642-9E53-0516BB0488CF}"/>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'Tables and Graph&amp;Charts'!$E$2:$E$3</c:f>
              <c:strCache>
                <c:ptCount val="2"/>
                <c:pt idx="0">
                  <c:v>Female</c:v>
                </c:pt>
                <c:pt idx="1">
                  <c:v>Male</c:v>
                </c:pt>
              </c:strCache>
            </c:strRef>
          </c:cat>
          <c:val>
            <c:numRef>
              <c:f>'Tables and Graph&amp;Charts'!$F$2:$F$3</c:f>
              <c:numCache>
                <c:formatCode>0.0%</c:formatCode>
                <c:ptCount val="2"/>
                <c:pt idx="0">
                  <c:v>0.5272045028142589</c:v>
                </c:pt>
                <c:pt idx="1">
                  <c:v>0.4727954971857411</c:v>
                </c:pt>
              </c:numCache>
            </c:numRef>
          </c:val>
          <c:extLst>
            <c:ext xmlns:c16="http://schemas.microsoft.com/office/drawing/2014/chart" uri="{C3380CC4-5D6E-409C-BE32-E72D297353CC}">
              <c16:uniqueId val="{00000000-10D6-42D6-86EC-CE6FC92FC60A}"/>
            </c:ext>
          </c:extLst>
        </c:ser>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[Dengue_data_Analysis.xlsm]Tables and Graph&amp;Charts!AreaPositiveT</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baseline="0">
                <a:solidFill>
                  <a:sysClr val="windowText" lastClr="000000"/>
                </a:solidFill>
                <a:effectLst/>
              </a:rPr>
              <a:t>Top 10 Mostly Dengue Affected Areas with No. of Positive Counts</a:t>
            </a:r>
            <a:endParaRPr lang="en-US" sz="1100">
              <a:solidFill>
                <a:sysClr val="windowText" lastClr="000000"/>
              </a:solidFill>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'Tables and Graph&amp;Charts'!$B$8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 and Graph&amp;Charts'!$A$9:$A$18</c:f>
              <c:strCache>
                <c:ptCount val="10"/>
                <c:pt idx="0">
                  <c:v>Jatrabari</c:v>
                </c:pt>
                <c:pt idx="1">
                  <c:v>Demra</c:v>
                </c:pt>
                <c:pt idx="2">
                  <c:v>Tejgaon</c:v>
                </c:pt>
                <c:pt idx="3">
                  <c:v>Bangshal</c:v>
                </c:pt>
                <c:pt idx="4">
                  <c:v>Mohammadpur</c:v>
                </c:pt>
                <c:pt idx="5">
                  <c:v>Mirpur</c:v>
                </c:pt>
                <c:pt idx="6">
                  <c:v>Kadamtali</c:v>
                </c:pt>
                <c:pt idx="7">
                  <c:v>Badda</c:v>
                </c:pt>
                <c:pt idx="8">
                  <c:v>Kafrul</c:v>
                </c:pt>
                <c:pt idx="9">
                  <c:v>Dhanmondi</c:v>
                </c:pt>
              </c:strCache>
            </c:strRef>
          </c:cat>
          <c:val>
            <c:numRef>
              <c:f>'Tables and Graph&amp;Charts'!$B$9:$B$18</c:f>
              <c:numCache>
                <c:formatCode>General</c:formatCode>
                <c:ptCount val="10"/>
                <c:pt idx="0">
                  <c:v>31</c:v>
                </c:pt>
                <c:pt idx="1">
                  <c:v>26</c:v>
                </c:pt>
                <c:pt idx="2">
                  <c:v>24</c:v>
                </c:pt>
                <c:pt idx="3">
                  <c:v>24</c:v>
                </c:pt>
                <c:pt idx="4">
                  <c:v>20</c:v>
                </c:pt>
                <c:pt idx="5">
                  <c:v>19</c:v>
                </c:pt>
                <c:pt idx="6">
                  <c:v>19</c:v>
                </c:pt>
                <c:pt idx="7">
                  <c:v>17</c:v>
                </c:pt>
                <c:pt idx="8">
                  <c:v>17</c:v>
                </c:pt>
                <c:pt idx="9">
                  <c:v>17</c:v>
                </c:pt>
              </c:numCache>
            </c:numRef>
          </c:val>
          <c:extLst>
            <c:ext xmlns:c16="http://schemas.microsoft.com/office/drawing/2014/chart" uri="{C3380CC4-5D6E-409C-BE32-E72D297353CC}">
              <c16:uniqueId val="{00000000-A74C-4782-A710-5EF5C104EF06}"/>
            </c:ext>
          </c:extLst>
        </c:ser>
        <c:dLbls>
          <c:dLblPos val="outEnd"/>
          <c:showLegendKey val="0"/>
          <c:showVal val="1"/>
          <c:showCatName val="0"/>
          <c:showSerName val="0"/>
          <c:showPercent val="0"/>
          <c:showBubbleSize val="0"/>
        </c:dLbls>
        <c:gapWidth val="56"/>
        <c:axId val="1143683744"/>
        <c:axId val="1143685824"/>
      </c:barChart>
      <c:catAx>
        <c:axId val="11436837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3685824"/>
        <c:crosses val="autoZero"/>
        <c:auto val="1"/>
        <c:lblAlgn val="ctr"/>
        <c:lblOffset val="100"/>
        <c:noMultiLvlLbl val="0"/>
      </c:catAx>
      <c:valAx>
        <c:axId val="114368582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36837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[Dengue_data_Analysis.xlsm]Tables and Graph&amp;Charts!AreaType&amp;HouseTypeT</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baseline="0">
                <a:effectLst/>
              </a:rPr>
              <a:t>Dengue risk by </a:t>
            </a:r>
            <a:r>
              <a:rPr lang="en-US" sz="1400" b="1" i="0" baseline="0">
                <a:effectLst/>
              </a:rPr>
              <a:t>House Type and Area Type</a:t>
            </a:r>
            <a:endParaRPr lang="en-US" sz="1100">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'Tables and Graph&amp;Charts'!$G$5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'Tables and Graph&amp;Charts'!$E$6:$F$11</c:f>
              <c:multiLvlStrCache>
                <c:ptCount val="6"/>
                <c:lvl>
                  <c:pt idx="0">
                    <c:v>Building</c:v>
                  </c:pt>
                  <c:pt idx="1">
                    <c:v>Other</c:v>
                  </c:pt>
                  <c:pt idx="2">
                    <c:v>Tinshed</c:v>
                  </c:pt>
                  <c:pt idx="3">
                    <c:v>Building</c:v>
                  </c:pt>
                  <c:pt idx="4">
                    <c:v>Other</c:v>
                  </c:pt>
                  <c:pt idx="5">
                    <c:v>Tinshed</c:v>
                  </c:pt>
                </c:lvl>
                <c:lvl>
                  <c:pt idx="0">
                    <c:v>Developed</c:v>
                  </c:pt>
                  <c:pt idx="3">
                    <c:v>Undeveloped</c:v>
                  </c:pt>
                </c:lvl>
              </c:multiLvlStrCache>
            </c:multiLvlStrRef>
          </c:cat>
          <c:val>
            <c:numRef>
              <c:f>'Tables and Graph&amp;Charts'!$G$6:$G$11</c:f>
              <c:numCache>
                <c:formatCode>0.0%</c:formatCode>
                <c:ptCount val="6"/>
                <c:pt idx="0">
                  <c:v>0.17823639774859287</c:v>
                </c:pt>
                <c:pt idx="1">
                  <c:v>0.15009380863039401</c:v>
                </c:pt>
                <c:pt idx="2">
                  <c:v>0.15384615384615385</c:v>
                </c:pt>
                <c:pt idx="3">
                  <c:v>0.1801125703564728</c:v>
                </c:pt>
                <c:pt idx="4">
                  <c:v>0.16697936210131331</c:v>
                </c:pt>
                <c:pt idx="5">
                  <c:v>0.17073170731707318</c:v>
                </c:pt>
              </c:numCache>
            </c:numRef>
          </c:val>
          <c:extLst>
            <c:ext xmlns:c16="http://schemas.microsoft.com/office/drawing/2014/chart" uri="{C3380CC4-5D6E-409C-BE32-E72D297353CC}">
              <c16:uniqueId val="{00000000-5E43-4384-9BAE-5D1B3A3E0C78}"/>
            </c:ext>
          </c:extLst>
        </c:ser>
        <c:dLbls>
          <c:dLblPos val="outEnd"/>
          <c:showLegendKey val="0"/>
          <c:showVal val="1"/>
          <c:showCatName val="0"/>
          <c:showSerName val="0"/>
          <c:showPercent val="0"/>
          <c:showBubbleSize val="0"/>
        </c:dLbls>
        <c:gapWidth val="100"/>
        <c:overlap val="-27"/>
        <c:axId val="1345829984"/>
        <c:axId val="1345830816"/>
      </c:barChart>
      <c:catAx>
        <c:axId val="13458299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5830816"/>
        <c:crosses val="autoZero"/>
        <c:auto val="1"/>
        <c:lblAlgn val="ctr"/>
        <c:lblOffset val="100"/>
        <c:noMultiLvlLbl val="0"/>
      </c:catAx>
      <c:valAx>
        <c:axId val="1345830816"/>
        <c:scaling>
          <c:orientation val="minMax"/>
        </c:scaling>
        <c:delete val="1"/>
        <c:axPos val="l"/>
        <c:numFmt formatCode="0.0%" sourceLinked="1"/>
        <c:majorTickMark val="none"/>
        <c:minorTickMark val="none"/>
        <c:tickLblPos val="nextTo"/>
        <c:crossAx val="1345829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[Dengue_data_Analysis.xlsm]Tables and Graph&amp;Charts!Gender&amp;AgeT</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baseline="0">
                <a:effectLst/>
              </a:rPr>
              <a:t>Dengue Prevalence by </a:t>
            </a:r>
            <a:r>
              <a:rPr lang="en-US" sz="1400" b="1" i="0" baseline="0">
                <a:effectLst/>
              </a:rPr>
              <a:t>Age Group &amp; Gender</a:t>
            </a:r>
            <a:endParaRPr lang="en-US" sz="1100">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'Tables and Graph&amp;Charts'!$G$18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34925" cap="rnd">
                <a:gradFill flip="none" rotWithShape="1">
                  <a:gsLst>
                    <a:gs pos="0">
                      <a:srgbClr val="FA5858"/>
                    </a:gs>
                    <a:gs pos="100000">
                      <a:srgbClr val="FCC2B6"/>
                    </a:gs>
                  </a:gsLst>
                  <a:lin ang="0" scaled="1"/>
                  <a:tileRect/>
                </a:gradFill>
                <a:prstDash val="solid"/>
              </a:ln>
              <a:effectLst/>
            </c:spPr>
            <c:trendlineType val="movingAvg"/>
            <c:period val="2"/>
            <c:dispRSqr val="0"/>
            <c:dispEq val="0"/>
          </c:trendline>
          <c:cat>
            <c:multiLvlStrRef>
              <c:f>'Tables and Graph&amp;Charts'!$E$19:$F$28</c:f>
              <c:multiLvlStrCache>
                <c:ptCount val="10"/>
                <c:lvl>
                  <c:pt idx="0">
                    <c:v>0-10</c:v>
                  </c:pt>
                  <c:pt idx="1">
                    <c:v>11-18</c:v>
                  </c:pt>
                  <c:pt idx="2">
                    <c:v>19-30</c:v>
                  </c:pt>
                  <c:pt idx="3">
                    <c:v>31-60</c:v>
                  </c:pt>
                  <c:pt idx="4">
                    <c:v>above 60</c:v>
                  </c:pt>
                  <c:pt idx="5">
                    <c:v>0-10</c:v>
                  </c:pt>
                  <c:pt idx="6">
                    <c:v>11-18</c:v>
                  </c:pt>
                  <c:pt idx="7">
                    <c:v>19-30</c:v>
                  </c:pt>
                  <c:pt idx="8">
                    <c:v>31-60</c:v>
                  </c:pt>
                  <c:pt idx="9">
                    <c:v>above 60</c:v>
                  </c:pt>
                </c:lvl>
                <c:lvl>
                  <c:pt idx="0">
                    <c:v>Female</c:v>
                  </c:pt>
                  <c:pt idx="5">
                    <c:v>Male</c:v>
                  </c:pt>
                </c:lvl>
              </c:multiLvlStrCache>
            </c:multiLvlStrRef>
          </c:cat>
          <c:val>
            <c:numRef>
              <c:f>'Tables and Graph&amp;Charts'!$G$19:$G$28</c:f>
              <c:numCache>
                <c:formatCode>0.0%</c:formatCode>
                <c:ptCount val="10"/>
                <c:pt idx="0">
                  <c:v>4.3151969981238276E-2</c:v>
                </c:pt>
                <c:pt idx="1">
                  <c:v>8.6303939962476553E-2</c:v>
                </c:pt>
                <c:pt idx="2">
                  <c:v>9.3808630393996242E-2</c:v>
                </c:pt>
                <c:pt idx="3">
                  <c:v>0.27016885553470921</c:v>
                </c:pt>
                <c:pt idx="4">
                  <c:v>3.3771106941838651E-2</c:v>
                </c:pt>
                <c:pt idx="5">
                  <c:v>3.0018761726078799E-2</c:v>
                </c:pt>
                <c:pt idx="6">
                  <c:v>5.0656660412757973E-2</c:v>
                </c:pt>
                <c:pt idx="7">
                  <c:v>8.8180112570356475E-2</c:v>
                </c:pt>
                <c:pt idx="8">
                  <c:v>0.25703564727954969</c:v>
                </c:pt>
                <c:pt idx="9">
                  <c:v>4.6904315196998121E-2</c:v>
                </c:pt>
              </c:numCache>
            </c:numRef>
          </c:val>
          <c:extLst>
            <c:ext xmlns:c16="http://schemas.microsoft.com/office/drawing/2014/chart" uri="{C3380CC4-5D6E-409C-BE32-E72D297353CC}">
              <c16:uniqueId val="{00000000-6463-4EB3-9D00-E9188B0BEBE0}"/>
            </c:ext>
          </c:extLst>
        </c:ser>
        <c:dLbls>
          <c:dLblPos val="outEnd"/>
          <c:showLegendKey val="0"/>
          <c:showVal val="1"/>
          <c:showCatName val="0"/>
          <c:showSerName val="0"/>
          <c:showPercent val="0"/>
          <c:showBubbleSize val="0"/>
        </c:dLbls>
        <c:gapWidth val="65"/>
        <c:overlap val="-27"/>
        <c:axId val="261006112"/>
        <c:axId val="261006944"/>
      </c:barChart>
      <c:catAx>
        <c:axId val="261006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006944"/>
        <c:crosses val="autoZero"/>
        <c:auto val="1"/>
        <c:lblAlgn val="ctr"/>
        <c:lblOffset val="100"/>
        <c:noMultiLvlLbl val="0"/>
      </c:catAx>
      <c:valAx>
        <c:axId val="261006944"/>
        <c:scaling>
          <c:orientation val="minMax"/>
        </c:scaling>
        <c:delete val="1"/>
        <c:axPos val="l"/>
        <c:numFmt formatCode="0.0%" sourceLinked="1"/>
        <c:majorTickMark val="none"/>
        <c:minorTickMark val="none"/>
        <c:tickLblPos val="nextTo"/>
        <c:crossAx val="2610061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[Dengue_data_Analysis.xlsm]Tables and Graph&amp;Charts!PositiveByGenderT</c:name>
    <c:fmtId val="6"/>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solidFill>
                <a:latin typeface="+mn-lt"/>
                <a:ea typeface="+mn-ea"/>
                <a:cs typeface="+mn-cs"/>
              </a:defRPr>
            </a:pPr>
            <a:r>
              <a:rPr lang="en-US" sz="1400" b="0" i="0" baseline="0">
                <a:solidFill>
                  <a:sysClr val="windowText" lastClr="000000"/>
                </a:solidFill>
                <a:effectLst/>
              </a:rPr>
              <a:t>Dengue Case(Positive) Breakdown by Gender</a:t>
            </a:r>
            <a:endParaRPr lang="en-US" sz="1100">
              <a:solidFill>
                <a:sysClr val="windowText" lastClr="000000"/>
              </a:solidFill>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0.13533641773405516"/>
              <c:y val="-3.728070068147359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2"/>
          </a:solidFill>
          <a:ln w="19050">
            <a:solidFill>
              <a:schemeClr val="lt1"/>
            </a:solidFill>
          </a:ln>
          <a:effectLst/>
        </c:spPr>
        <c:dLbl>
          <c:idx val="0"/>
          <c:layout>
            <c:manualLayout>
              <c:x val="-9.1679508787585809E-2"/>
              <c:y val="-4.970760090863140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19050">
            <a:solidFill>
              <a:schemeClr val="lt1"/>
            </a:solidFill>
          </a:ln>
          <a:effectLst/>
        </c:spPr>
        <c:dLbl>
          <c:idx val="0"/>
          <c:layout>
            <c:manualLayout>
              <c:x val="0.13533641773405516"/>
              <c:y val="-3.728070068147359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dLbl>
          <c:idx val="0"/>
          <c:layout>
            <c:manualLayout>
              <c:x val="-9.1679508787585809E-2"/>
              <c:y val="-4.970760090863140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lt1"/>
            </a:solidFill>
          </a:ln>
          <a:effectLst/>
        </c:spPr>
        <c:dLbl>
          <c:idx val="0"/>
          <c:layout>
            <c:manualLayout>
              <c:x val="0.13533641773405516"/>
              <c:y val="-3.728070068147359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dLbl>
          <c:idx val="0"/>
          <c:layout>
            <c:manualLayout>
              <c:x val="-9.1679508787585809E-2"/>
              <c:y val="-4.970760090863140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268873620811214"/>
          <c:y val="0.27053361794522673"/>
          <c:w val="0.50223423684801238"/>
          <c:h val="0.71480263978672698"/>
        </c:manualLayout>
      </c:layout>
      <c:doughnutChart>
        <c:varyColors val="1"/>
        <c:ser>
          <c:idx val="0"/>
          <c:order val="0"/>
          <c:tx>
            <c:strRef>
              <c:f>'Tables and Graph&amp;Charts'!$F$1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36D-4DCC-BD95-155A97D44D0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36D-4DCC-BD95-155A97D44D0C}"/>
              </c:ext>
            </c:extLst>
          </c:dPt>
          <c:dLbls>
            <c:dLbl>
              <c:idx val="0"/>
              <c:layout>
                <c:manualLayout>
                  <c:x val="0.13533641773405516"/>
                  <c:y val="-3.728070068147359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B36D-4DCC-BD95-155A97D44D0C}"/>
                </c:ext>
              </c:extLst>
            </c:dLbl>
            <c:dLbl>
              <c:idx val="1"/>
              <c:layout>
                <c:manualLayout>
                  <c:x val="-9.1679508787585809E-2"/>
                  <c:y val="-4.9707600908631404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B36D-4DCC-BD95-155A97D44D0C}"/>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'Tables and Graph&amp;Charts'!$E$2:$E$3</c:f>
              <c:strCache>
                <c:ptCount val="2"/>
                <c:pt idx="0">
                  <c:v>Female</c:v>
                </c:pt>
                <c:pt idx="1">
                  <c:v>Male</c:v>
                </c:pt>
              </c:strCache>
            </c:strRef>
          </c:cat>
          <c:val>
            <c:numRef>
              <c:f>'Tables and Graph&amp;Charts'!$F$2:$F$3</c:f>
              <c:numCache>
                <c:formatCode>0.0%</c:formatCode>
                <c:ptCount val="2"/>
                <c:pt idx="0">
                  <c:v>0.5272045028142589</c:v>
                </c:pt>
                <c:pt idx="1">
                  <c:v>0.4727954971857411</c:v>
                </c:pt>
              </c:numCache>
            </c:numRef>
          </c:val>
          <c:extLst>
            <c:ext xmlns:c16="http://schemas.microsoft.com/office/drawing/2014/chart" uri="{C3380CC4-5D6E-409C-BE32-E72D297353CC}">
              <c16:uniqueId val="{00000004-B36D-4DCC-BD95-155A97D44D0C}"/>
            </c:ext>
          </c:extLst>
        </c:ser>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Test effectiveness</a:t>
            </a:r>
            <a:r>
              <a:rPr lang="en-US" baseline="0"/>
              <a:t> over Positivity rate with Actual positive cases</a:t>
            </a:r>
            <a:endParaRPr lang="en-US"/>
          </a:p>
        </c:rich>
      </c:tx>
      <c:layout>
        <c:manualLayout>
          <c:xMode val="edge"/>
          <c:yMode val="edge"/>
          <c:x val="0.12161789151356081"/>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1"/>
        <c:ser>
          <c:idx val="0"/>
          <c:order val="0"/>
          <c:invertIfNegative val="0"/>
          <c:dPt>
            <c:idx val="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1-858D-4500-A4C5-BC39D7225A82}"/>
              </c:ext>
            </c:extLst>
          </c:dPt>
          <c:dPt>
            <c:idx val="1"/>
            <c:invertIfNegative val="0"/>
            <c:bubble3D val="0"/>
            <c:spPr>
              <a:solidFill>
                <a:srgbClr val="FF0000">
                  <a:alpha val="55000"/>
                </a:srgbClr>
              </a:solidFill>
              <a:ln>
                <a:noFill/>
              </a:ln>
              <a:effectLst/>
            </c:spPr>
            <c:extLst>
              <c:ext xmlns:c16="http://schemas.microsoft.com/office/drawing/2014/chart" uri="{C3380CC4-5D6E-409C-BE32-E72D297353CC}">
                <c16:uniqueId val="{00000003-858D-4500-A4C5-BC39D7225A82}"/>
              </c:ext>
            </c:extLst>
          </c:dPt>
          <c:dPt>
            <c:idx val="2"/>
            <c:invertIfNegative val="0"/>
            <c:bubble3D val="0"/>
            <c:spPr>
              <a:solidFill>
                <a:schemeClr val="accent3">
                  <a:alpha val="75000"/>
                </a:schemeClr>
              </a:solidFill>
              <a:ln>
                <a:noFill/>
              </a:ln>
              <a:effectLst/>
            </c:spPr>
            <c:extLst>
              <c:ext xmlns:c16="http://schemas.microsoft.com/office/drawing/2014/chart" uri="{C3380CC4-5D6E-409C-BE32-E72D297353CC}">
                <c16:uniqueId val="{00000005-858D-4500-A4C5-BC39D7225A82}"/>
              </c:ext>
            </c:extLst>
          </c:dPt>
          <c:dLbls>
            <c:dLbl>
              <c:idx val="0"/>
              <c:tx>
                <c:rich>
                  <a:bodyPr/>
                  <a:lstStyle/>
                  <a:p>
                    <a:fld id="{F754F661-5215-4ADC-B0B2-EE3668EDB5F7}" type="CELLRANGE">
                      <a:rPr lang="en-US"/>
                      <a:pPr/>
                      <a:t>[CELLRANGE]</a:t>
                    </a:fld>
                    <a:endParaRPr lang="en-US" baseline="0"/>
                  </a:p>
                  <a:p>
                    <a:fld id="{1F2161D1-0E17-4DD4-8234-648C49A3B5DE}" type="BUBBLESIZE">
                      <a:rPr lang="en-US"/>
                      <a:pPr/>
                      <a:t>[BUBBLE SIZE]</a:t>
                    </a:fld>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858D-4500-A4C5-BC39D7225A82}"/>
                </c:ext>
              </c:extLst>
            </c:dLbl>
            <c:dLbl>
              <c:idx val="1"/>
              <c:tx>
                <c:rich>
                  <a:bodyPr/>
                  <a:lstStyle/>
                  <a:p>
                    <a:fld id="{F57E135A-3C82-4162-99A7-BF3559C1960A}" type="CELLRANGE">
                      <a:rPr lang="en-US"/>
                      <a:pPr/>
                      <a:t>[CELLRANGE]</a:t>
                    </a:fld>
                    <a:endParaRPr lang="en-US" baseline="0"/>
                  </a:p>
                  <a:p>
                    <a:fld id="{FFA7B646-DE9D-4406-9086-920E005D433C}" type="BUBBLESIZE">
                      <a:rPr lang="en-US"/>
                      <a:pPr/>
                      <a:t>[BUBBLE SIZE]</a:t>
                    </a:fld>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858D-4500-A4C5-BC39D7225A82}"/>
                </c:ext>
              </c:extLst>
            </c:dLbl>
            <c:dLbl>
              <c:idx val="2"/>
              <c:tx>
                <c:rich>
                  <a:bodyPr/>
                  <a:lstStyle/>
                  <a:p>
                    <a:fld id="{9B53B01B-3E72-4DC6-A7AF-0E91D723C73C}" type="CELLRANGE">
                      <a:rPr lang="en-US"/>
                      <a:pPr/>
                      <a:t>[CELLRANGE]</a:t>
                    </a:fld>
                    <a:endParaRPr lang="en-US" baseline="0"/>
                  </a:p>
                  <a:p>
                    <a:fld id="{A975092B-F97E-47F4-938E-9E6D77EDE8C2}" type="BUBBLESIZE">
                      <a:rPr lang="en-US"/>
                      <a:pPr/>
                      <a:t>[BUBBLE SIZE]</a:t>
                    </a:fld>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858D-4500-A4C5-BC39D7225A8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1"/>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'Tables and Graph&amp;Charts'!$AC$9:$AC$11</c:f>
              <c:numCache>
                <c:formatCode>0.0%</c:formatCode>
                <c:ptCount val="3"/>
                <c:pt idx="0">
                  <c:v>0.52108433734939763</c:v>
                </c:pt>
                <c:pt idx="1">
                  <c:v>0.53514056224899598</c:v>
                </c:pt>
                <c:pt idx="2">
                  <c:v>0.47489959839357432</c:v>
                </c:pt>
              </c:numCache>
            </c:numRef>
          </c:xVal>
          <c:yVal>
            <c:numRef>
              <c:f>'Tables and Graph&amp;Charts'!$AD$9:$AD$11</c:f>
              <c:numCache>
                <c:formatCode>0.0%</c:formatCode>
                <c:ptCount val="3"/>
                <c:pt idx="0">
                  <c:v>0.97373358348968109</c:v>
                </c:pt>
                <c:pt idx="1">
                  <c:v>0.97373358348968109</c:v>
                </c:pt>
                <c:pt idx="2">
                  <c:v>0.48592870544090055</c:v>
                </c:pt>
              </c:numCache>
            </c:numRef>
          </c:yVal>
          <c:bubbleSize>
            <c:numRef>
              <c:f>'Tables and Graph&amp;Charts'!$AE$9:$AE$11</c:f>
              <c:numCache>
                <c:formatCode>General</c:formatCode>
                <c:ptCount val="3"/>
                <c:pt idx="0">
                  <c:v>519</c:v>
                </c:pt>
                <c:pt idx="1">
                  <c:v>533</c:v>
                </c:pt>
                <c:pt idx="2">
                  <c:v>259</c:v>
                </c:pt>
              </c:numCache>
            </c:numRef>
          </c:bubbleSize>
          <c:bubble3D val="0"/>
          <c:extLst>
            <c:ext xmlns:c15="http://schemas.microsoft.com/office/drawing/2012/chart" uri="{02D57815-91ED-43cb-92C2-25804820EDAC}">
              <c15:datalabelsRange>
                <c15:f>'Tables and Graph&amp;Charts'!$AB$9:$AB$11</c15:f>
                <c15:dlblRangeCache>
                  <c:ptCount val="3"/>
                  <c:pt idx="0">
                    <c:v>NS1</c:v>
                  </c:pt>
                  <c:pt idx="1">
                    <c:v>IgG</c:v>
                  </c:pt>
                  <c:pt idx="2">
                    <c:v>IgM</c:v>
                  </c:pt>
                </c15:dlblRangeCache>
              </c15:datalabelsRange>
            </c:ext>
            <c:ext xmlns:c16="http://schemas.microsoft.com/office/drawing/2014/chart" uri="{C3380CC4-5D6E-409C-BE32-E72D297353CC}">
              <c16:uniqueId val="{00000006-858D-4500-A4C5-BC39D7225A82}"/>
            </c:ext>
          </c:extLst>
        </c:ser>
        <c:dLbls>
          <c:showLegendKey val="0"/>
          <c:showVal val="1"/>
          <c:showCatName val="0"/>
          <c:showSerName val="0"/>
          <c:showPercent val="0"/>
          <c:showBubbleSize val="0"/>
        </c:dLbls>
        <c:bubbleScale val="100"/>
        <c:showNegBubbles val="0"/>
        <c:axId val="1131125536"/>
        <c:axId val="1131125952"/>
      </c:bubbleChart>
      <c:valAx>
        <c:axId val="113112553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Positivity Rate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1125952"/>
        <c:crosses val="autoZero"/>
        <c:crossBetween val="midCat"/>
      </c:valAx>
      <c:valAx>
        <c:axId val="1131125952"/>
        <c:scaling>
          <c:orientation val="minMax"/>
          <c:max val="1.2"/>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Effectiveness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112553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[Dengue_data_Analysis.xlsm]Tables and Graph&amp;Charts!AreaPositiveT</c:name>
    <c:fmtId val="6"/>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baseline="0">
                <a:solidFill>
                  <a:sysClr val="windowText" lastClr="000000"/>
                </a:solidFill>
                <a:effectLst/>
              </a:rPr>
              <a:t>Top 10 Mostly Dengue Affected Areas with No. of Positive Counts</a:t>
            </a:r>
            <a:endParaRPr lang="en-US" sz="1100">
              <a:solidFill>
                <a:sysClr val="windowText" lastClr="000000"/>
              </a:solidFill>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'Tables and Graph&amp;Charts'!$B$8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 and Graph&amp;Charts'!$A$9:$A$18</c:f>
              <c:strCache>
                <c:ptCount val="10"/>
                <c:pt idx="0">
                  <c:v>Jatrabari</c:v>
                </c:pt>
                <c:pt idx="1">
                  <c:v>Demra</c:v>
                </c:pt>
                <c:pt idx="2">
                  <c:v>Tejgaon</c:v>
                </c:pt>
                <c:pt idx="3">
                  <c:v>Bangshal</c:v>
                </c:pt>
                <c:pt idx="4">
                  <c:v>Mohammadpur</c:v>
                </c:pt>
                <c:pt idx="5">
                  <c:v>Mirpur</c:v>
                </c:pt>
                <c:pt idx="6">
                  <c:v>Kadamtali</c:v>
                </c:pt>
                <c:pt idx="7">
                  <c:v>Badda</c:v>
                </c:pt>
                <c:pt idx="8">
                  <c:v>Kafrul</c:v>
                </c:pt>
                <c:pt idx="9">
                  <c:v>Dhanmondi</c:v>
                </c:pt>
              </c:strCache>
            </c:strRef>
          </c:cat>
          <c:val>
            <c:numRef>
              <c:f>'Tables and Graph&amp;Charts'!$B$9:$B$18</c:f>
              <c:numCache>
                <c:formatCode>General</c:formatCode>
                <c:ptCount val="10"/>
                <c:pt idx="0">
                  <c:v>31</c:v>
                </c:pt>
                <c:pt idx="1">
                  <c:v>26</c:v>
                </c:pt>
                <c:pt idx="2">
                  <c:v>24</c:v>
                </c:pt>
                <c:pt idx="3">
                  <c:v>24</c:v>
                </c:pt>
                <c:pt idx="4">
                  <c:v>20</c:v>
                </c:pt>
                <c:pt idx="5">
                  <c:v>19</c:v>
                </c:pt>
                <c:pt idx="6">
                  <c:v>19</c:v>
                </c:pt>
                <c:pt idx="7">
                  <c:v>17</c:v>
                </c:pt>
                <c:pt idx="8">
                  <c:v>17</c:v>
                </c:pt>
                <c:pt idx="9">
                  <c:v>17</c:v>
                </c:pt>
              </c:numCache>
            </c:numRef>
          </c:val>
          <c:extLst>
            <c:ext xmlns:c16="http://schemas.microsoft.com/office/drawing/2014/chart" uri="{C3380CC4-5D6E-409C-BE32-E72D297353CC}">
              <c16:uniqueId val="{00000000-136E-4391-A55C-0C379BC5DBA9}"/>
            </c:ext>
          </c:extLst>
        </c:ser>
        <c:dLbls>
          <c:dLblPos val="outEnd"/>
          <c:showLegendKey val="0"/>
          <c:showVal val="1"/>
          <c:showCatName val="0"/>
          <c:showSerName val="0"/>
          <c:showPercent val="0"/>
          <c:showBubbleSize val="0"/>
        </c:dLbls>
        <c:gapWidth val="56"/>
        <c:axId val="1143683744"/>
        <c:axId val="1143685824"/>
      </c:barChart>
      <c:catAx>
        <c:axId val="11436837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3685824"/>
        <c:crosses val="autoZero"/>
        <c:auto val="1"/>
        <c:lblAlgn val="ctr"/>
        <c:lblOffset val="100"/>
        <c:noMultiLvlLbl val="0"/>
      </c:catAx>
      <c:valAx>
        <c:axId val="114368582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36837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[Dengue_data_Analysis.xlsm]Tables and Graph&amp;Charts!Gender&amp;AgeT</c:name>
    <c:fmtId val="12"/>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baseline="0">
                <a:effectLst/>
              </a:rPr>
              <a:t>Dengue Prevalence by </a:t>
            </a:r>
            <a:r>
              <a:rPr lang="en-US" sz="1400" b="1" i="0" baseline="0">
                <a:effectLst/>
              </a:rPr>
              <a:t>Age Group &amp; Gender</a:t>
            </a:r>
            <a:endParaRPr lang="en-US" sz="1100">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'Tables and Graph&amp;Charts'!$G$18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'Tables and Graph&amp;Charts'!$E$19:$F$28</c:f>
              <c:multiLvlStrCache>
                <c:ptCount val="10"/>
                <c:lvl>
                  <c:pt idx="0">
                    <c:v>0-10</c:v>
                  </c:pt>
                  <c:pt idx="1">
                    <c:v>11-18</c:v>
                  </c:pt>
                  <c:pt idx="2">
                    <c:v>19-30</c:v>
                  </c:pt>
                  <c:pt idx="3">
                    <c:v>31-60</c:v>
                  </c:pt>
                  <c:pt idx="4">
                    <c:v>above 60</c:v>
                  </c:pt>
                  <c:pt idx="5">
                    <c:v>0-10</c:v>
                  </c:pt>
                  <c:pt idx="6">
                    <c:v>11-18</c:v>
                  </c:pt>
                  <c:pt idx="7">
                    <c:v>19-30</c:v>
                  </c:pt>
                  <c:pt idx="8">
                    <c:v>31-60</c:v>
                  </c:pt>
                  <c:pt idx="9">
                    <c:v>above 60</c:v>
                  </c:pt>
                </c:lvl>
                <c:lvl>
                  <c:pt idx="0">
                    <c:v>Female</c:v>
                  </c:pt>
                  <c:pt idx="5">
                    <c:v>Male</c:v>
                  </c:pt>
                </c:lvl>
              </c:multiLvlStrCache>
            </c:multiLvlStrRef>
          </c:cat>
          <c:val>
            <c:numRef>
              <c:f>'Tables and Graph&amp;Charts'!$G$19:$G$28</c:f>
              <c:numCache>
                <c:formatCode>0.0%</c:formatCode>
                <c:ptCount val="10"/>
                <c:pt idx="0">
                  <c:v>4.3151969981238276E-2</c:v>
                </c:pt>
                <c:pt idx="1">
                  <c:v>8.6303939962476553E-2</c:v>
                </c:pt>
                <c:pt idx="2">
                  <c:v>9.3808630393996242E-2</c:v>
                </c:pt>
                <c:pt idx="3">
                  <c:v>0.27016885553470921</c:v>
                </c:pt>
                <c:pt idx="4">
                  <c:v>3.3771106941838651E-2</c:v>
                </c:pt>
                <c:pt idx="5">
                  <c:v>3.0018761726078799E-2</c:v>
                </c:pt>
                <c:pt idx="6">
                  <c:v>5.0656660412757973E-2</c:v>
                </c:pt>
                <c:pt idx="7">
                  <c:v>8.8180112570356475E-2</c:v>
                </c:pt>
                <c:pt idx="8">
                  <c:v>0.25703564727954969</c:v>
                </c:pt>
                <c:pt idx="9">
                  <c:v>4.6904315196998121E-2</c:v>
                </c:pt>
              </c:numCache>
            </c:numRef>
          </c:val>
          <c:extLst>
            <c:ext xmlns:c16="http://schemas.microsoft.com/office/drawing/2014/chart" uri="{C3380CC4-5D6E-409C-BE32-E72D297353CC}">
              <c16:uniqueId val="{00000000-95E0-4746-9554-4780CDF205BC}"/>
            </c:ext>
          </c:extLst>
        </c:ser>
        <c:dLbls>
          <c:dLblPos val="outEnd"/>
          <c:showLegendKey val="0"/>
          <c:showVal val="1"/>
          <c:showCatName val="0"/>
          <c:showSerName val="0"/>
          <c:showPercent val="0"/>
          <c:showBubbleSize val="0"/>
        </c:dLbls>
        <c:gapWidth val="65"/>
        <c:overlap val="-27"/>
        <c:axId val="261006112"/>
        <c:axId val="261006944"/>
      </c:barChart>
      <c:catAx>
        <c:axId val="261006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006944"/>
        <c:crosses val="autoZero"/>
        <c:auto val="1"/>
        <c:lblAlgn val="ctr"/>
        <c:lblOffset val="100"/>
        <c:noMultiLvlLbl val="0"/>
      </c:catAx>
      <c:valAx>
        <c:axId val="261006944"/>
        <c:scaling>
          <c:orientation val="minMax"/>
        </c:scaling>
        <c:delete val="1"/>
        <c:axPos val="l"/>
        <c:numFmt formatCode="0.0%" sourceLinked="1"/>
        <c:majorTickMark val="none"/>
        <c:minorTickMark val="none"/>
        <c:tickLblPos val="nextTo"/>
        <c:crossAx val="2610061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[Dengue_data_Analysis.xlsm]Tables and Graph&amp;Charts!AreaType&amp;HouseTypeT</c:name>
    <c:fmtId val="6"/>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baseline="0">
                <a:effectLst/>
              </a:rPr>
              <a:t>Dengue risk by </a:t>
            </a:r>
            <a:r>
              <a:rPr lang="en-US" sz="1400" b="1" i="0" baseline="0">
                <a:effectLst/>
              </a:rPr>
              <a:t>House Type and Area Type</a:t>
            </a:r>
            <a:endParaRPr lang="en-US" sz="1100">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'Tables and Graph&amp;Charts'!$G$5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'Tables and Graph&amp;Charts'!$E$6:$F$11</c:f>
              <c:multiLvlStrCache>
                <c:ptCount val="6"/>
                <c:lvl>
                  <c:pt idx="0">
                    <c:v>Building</c:v>
                  </c:pt>
                  <c:pt idx="1">
                    <c:v>Other</c:v>
                  </c:pt>
                  <c:pt idx="2">
                    <c:v>Tinshed</c:v>
                  </c:pt>
                  <c:pt idx="3">
                    <c:v>Building</c:v>
                  </c:pt>
                  <c:pt idx="4">
                    <c:v>Other</c:v>
                  </c:pt>
                  <c:pt idx="5">
                    <c:v>Tinshed</c:v>
                  </c:pt>
                </c:lvl>
                <c:lvl>
                  <c:pt idx="0">
                    <c:v>Developed</c:v>
                  </c:pt>
                  <c:pt idx="3">
                    <c:v>Undeveloped</c:v>
                  </c:pt>
                </c:lvl>
              </c:multiLvlStrCache>
            </c:multiLvlStrRef>
          </c:cat>
          <c:val>
            <c:numRef>
              <c:f>'Tables and Graph&amp;Charts'!$G$6:$G$11</c:f>
              <c:numCache>
                <c:formatCode>0.0%</c:formatCode>
                <c:ptCount val="6"/>
                <c:pt idx="0">
                  <c:v>0.17823639774859287</c:v>
                </c:pt>
                <c:pt idx="1">
                  <c:v>0.15009380863039401</c:v>
                </c:pt>
                <c:pt idx="2">
                  <c:v>0.15384615384615385</c:v>
                </c:pt>
                <c:pt idx="3">
                  <c:v>0.1801125703564728</c:v>
                </c:pt>
                <c:pt idx="4">
                  <c:v>0.16697936210131331</c:v>
                </c:pt>
                <c:pt idx="5">
                  <c:v>0.17073170731707318</c:v>
                </c:pt>
              </c:numCache>
            </c:numRef>
          </c:val>
          <c:extLst>
            <c:ext xmlns:c16="http://schemas.microsoft.com/office/drawing/2014/chart" uri="{C3380CC4-5D6E-409C-BE32-E72D297353CC}">
              <c16:uniqueId val="{00000000-3E26-4581-BC18-C5F3ED2DA4A0}"/>
            </c:ext>
          </c:extLst>
        </c:ser>
        <c:dLbls>
          <c:dLblPos val="outEnd"/>
          <c:showLegendKey val="0"/>
          <c:showVal val="1"/>
          <c:showCatName val="0"/>
          <c:showSerName val="0"/>
          <c:showPercent val="0"/>
          <c:showBubbleSize val="0"/>
        </c:dLbls>
        <c:gapWidth val="100"/>
        <c:overlap val="-27"/>
        <c:axId val="1345829984"/>
        <c:axId val="1345830816"/>
      </c:barChart>
      <c:catAx>
        <c:axId val="13458299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5830816"/>
        <c:crosses val="autoZero"/>
        <c:auto val="1"/>
        <c:lblAlgn val="ctr"/>
        <c:lblOffset val="100"/>
        <c:noMultiLvlLbl val="0"/>
      </c:catAx>
      <c:valAx>
        <c:axId val="1345830816"/>
        <c:scaling>
          <c:orientation val="minMax"/>
        </c:scaling>
        <c:delete val="1"/>
        <c:axPos val="l"/>
        <c:numFmt formatCode="0.0%" sourceLinked="1"/>
        <c:majorTickMark val="none"/>
        <c:minorTickMark val="none"/>
        <c:tickLblPos val="nextTo"/>
        <c:crossAx val="1345829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[Dengue_data_Analysis.xlsm]Tables and Graph&amp;Charts!Gender&amp;AgeT</c:name>
    <c:fmtId val="15"/>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baseline="0">
                <a:effectLst/>
              </a:rPr>
              <a:t>Dengue Prevalence by </a:t>
            </a:r>
            <a:r>
              <a:rPr lang="en-US" sz="1400" b="1" i="0" baseline="0">
                <a:effectLst/>
              </a:rPr>
              <a:t>Age Group &amp; Gender</a:t>
            </a:r>
            <a:endParaRPr lang="en-US" sz="1100">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'Tables and Graph&amp;Charts'!$G$18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'Tables and Graph&amp;Charts'!$E$19:$F$28</c:f>
              <c:multiLvlStrCache>
                <c:ptCount val="10"/>
                <c:lvl>
                  <c:pt idx="0">
                    <c:v>0-10</c:v>
                  </c:pt>
                  <c:pt idx="1">
                    <c:v>11-18</c:v>
                  </c:pt>
                  <c:pt idx="2">
                    <c:v>19-30</c:v>
                  </c:pt>
                  <c:pt idx="3">
                    <c:v>31-60</c:v>
                  </c:pt>
                  <c:pt idx="4">
                    <c:v>above 60</c:v>
                  </c:pt>
                  <c:pt idx="5">
                    <c:v>0-10</c:v>
                  </c:pt>
                  <c:pt idx="6">
                    <c:v>11-18</c:v>
                  </c:pt>
                  <c:pt idx="7">
                    <c:v>19-30</c:v>
                  </c:pt>
                  <c:pt idx="8">
                    <c:v>31-60</c:v>
                  </c:pt>
                  <c:pt idx="9">
                    <c:v>above 60</c:v>
                  </c:pt>
                </c:lvl>
                <c:lvl>
                  <c:pt idx="0">
                    <c:v>Female</c:v>
                  </c:pt>
                  <c:pt idx="5">
                    <c:v>Male</c:v>
                  </c:pt>
                </c:lvl>
              </c:multiLvlStrCache>
            </c:multiLvlStrRef>
          </c:cat>
          <c:val>
            <c:numRef>
              <c:f>'Tables and Graph&amp;Charts'!$G$19:$G$28</c:f>
              <c:numCache>
                <c:formatCode>0.0%</c:formatCode>
                <c:ptCount val="10"/>
                <c:pt idx="0">
                  <c:v>4.3151969981238276E-2</c:v>
                </c:pt>
                <c:pt idx="1">
                  <c:v>8.6303939962476553E-2</c:v>
                </c:pt>
                <c:pt idx="2">
                  <c:v>9.3808630393996242E-2</c:v>
                </c:pt>
                <c:pt idx="3">
                  <c:v>0.27016885553470921</c:v>
                </c:pt>
                <c:pt idx="4">
                  <c:v>3.3771106941838651E-2</c:v>
                </c:pt>
                <c:pt idx="5">
                  <c:v>3.0018761726078799E-2</c:v>
                </c:pt>
                <c:pt idx="6">
                  <c:v>5.0656660412757973E-2</c:v>
                </c:pt>
                <c:pt idx="7">
                  <c:v>8.8180112570356475E-2</c:v>
                </c:pt>
                <c:pt idx="8">
                  <c:v>0.25703564727954969</c:v>
                </c:pt>
                <c:pt idx="9">
                  <c:v>4.6904315196998121E-2</c:v>
                </c:pt>
              </c:numCache>
            </c:numRef>
          </c:val>
          <c:extLst>
            <c:ext xmlns:c16="http://schemas.microsoft.com/office/drawing/2014/chart" uri="{C3380CC4-5D6E-409C-BE32-E72D297353CC}">
              <c16:uniqueId val="{00000000-DE2B-476F-B15D-C48996FB67DF}"/>
            </c:ext>
          </c:extLst>
        </c:ser>
        <c:dLbls>
          <c:dLblPos val="outEnd"/>
          <c:showLegendKey val="0"/>
          <c:showVal val="1"/>
          <c:showCatName val="0"/>
          <c:showSerName val="0"/>
          <c:showPercent val="0"/>
          <c:showBubbleSize val="0"/>
        </c:dLbls>
        <c:gapWidth val="65"/>
        <c:overlap val="-27"/>
        <c:axId val="261006112"/>
        <c:axId val="261006944"/>
      </c:barChart>
      <c:catAx>
        <c:axId val="261006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006944"/>
        <c:crosses val="autoZero"/>
        <c:auto val="1"/>
        <c:lblAlgn val="ctr"/>
        <c:lblOffset val="100"/>
        <c:noMultiLvlLbl val="0"/>
      </c:catAx>
      <c:valAx>
        <c:axId val="261006944"/>
        <c:scaling>
          <c:orientation val="minMax"/>
        </c:scaling>
        <c:delete val="1"/>
        <c:axPos val="l"/>
        <c:numFmt formatCode="0.0%" sourceLinked="1"/>
        <c:majorTickMark val="none"/>
        <c:minorTickMark val="none"/>
        <c:tickLblPos val="nextTo"/>
        <c:crossAx val="2610061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'Tables and Graph&amp;Charts'!$AT$3</c:f>
              <c:strCache>
                <c:ptCount val="1"/>
                <c:pt idx="0">
                  <c:v>14</c:v>
                </c:pt>
              </c:strCache>
            </c:strRef>
          </c:tx>
          <c:spPr>
            <a:gradFill flip="none" rotWithShape="1">
              <a:gsLst>
                <a:gs pos="4000">
                  <a:schemeClr val="accent1">
                    <a:lumMod val="45000"/>
                    <a:lumOff val="55000"/>
                  </a:schemeClr>
                </a:gs>
                <a:gs pos="53000">
                  <a:schemeClr val="accent1">
                    <a:lumMod val="45000"/>
                    <a:lumOff val="55000"/>
                  </a:schemeClr>
                </a:gs>
                <a:gs pos="100000">
                  <a:srgbClr val="DD5B33"/>
                </a:gs>
              </a:gsLst>
              <a:lin ang="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 and Graph&amp;Charts'!$AS$4:$AS$12</c:f>
              <c:strCache>
                <c:ptCount val="9"/>
                <c:pt idx="0">
                  <c:v>Paltan</c:v>
                </c:pt>
                <c:pt idx="1">
                  <c:v>Ramna</c:v>
                </c:pt>
                <c:pt idx="2">
                  <c:v>Rampura</c:v>
                </c:pt>
                <c:pt idx="3">
                  <c:v>Sabujbagh</c:v>
                </c:pt>
                <c:pt idx="4">
                  <c:v>Shahbagh</c:v>
                </c:pt>
                <c:pt idx="5">
                  <c:v>Sher-e-Bangla Nagar</c:v>
                </c:pt>
                <c:pt idx="6">
                  <c:v>Shyampur</c:v>
                </c:pt>
                <c:pt idx="7">
                  <c:v>Sutrapur</c:v>
                </c:pt>
                <c:pt idx="8">
                  <c:v>Tejgaon</c:v>
                </c:pt>
              </c:strCache>
            </c:strRef>
          </c:cat>
          <c:val>
            <c:numRef>
              <c:f>'Tables and Graph&amp;Charts'!$AT$4:$AT$12</c:f>
              <c:numCache>
                <c:formatCode>General</c:formatCode>
                <c:ptCount val="9"/>
                <c:pt idx="0">
                  <c:v>14</c:v>
                </c:pt>
                <c:pt idx="1">
                  <c:v>10</c:v>
                </c:pt>
                <c:pt idx="2">
                  <c:v>14</c:v>
                </c:pt>
                <c:pt idx="3">
                  <c:v>15</c:v>
                </c:pt>
                <c:pt idx="4">
                  <c:v>11</c:v>
                </c:pt>
                <c:pt idx="5">
                  <c:v>9</c:v>
                </c:pt>
                <c:pt idx="6">
                  <c:v>9</c:v>
                </c:pt>
                <c:pt idx="7">
                  <c:v>10</c:v>
                </c:pt>
                <c:pt idx="8">
                  <c:v>24</c:v>
                </c:pt>
              </c:numCache>
            </c:numRef>
          </c:val>
          <c:extLst>
            <c:ext xmlns:c16="http://schemas.microsoft.com/office/drawing/2014/chart" uri="{C3380CC4-5D6E-409C-BE32-E72D297353CC}">
              <c16:uniqueId val="{00000000-F80D-44CE-A615-2DEF89B174B4}"/>
            </c:ext>
          </c:extLst>
        </c:ser>
        <c:dLbls>
          <c:dLblPos val="outEnd"/>
          <c:showLegendKey val="0"/>
          <c:showVal val="1"/>
          <c:showCatName val="0"/>
          <c:showSerName val="0"/>
          <c:showPercent val="0"/>
          <c:showBubbleSize val="0"/>
        </c:dLbls>
        <c:gapWidth val="84"/>
        <c:axId val="465911135"/>
        <c:axId val="360341295"/>
      </c:barChart>
      <c:catAx>
        <c:axId val="4659111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341295"/>
        <c:crosses val="autoZero"/>
        <c:auto val="1"/>
        <c:lblAlgn val="ctr"/>
        <c:lblOffset val="100"/>
        <c:noMultiLvlLbl val="0"/>
      </c:catAx>
      <c:valAx>
        <c:axId val="360341295"/>
        <c:scaling>
          <c:orientation val="minMax"/>
        </c:scaling>
        <c:delete val="1"/>
        <c:axPos val="b"/>
        <c:numFmt formatCode="General" sourceLinked="1"/>
        <c:majorTickMark val="none"/>
        <c:minorTickMark val="none"/>
        <c:tickLblPos val="nextTo"/>
        <c:crossAx val="4659111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[Dengue_data_Analysis.xlsm]Tables and Graph&amp;Charts!TotalByHtype</c:name>
    <c:fmtId val="0"/>
  </c:pivotSource>
  <c:chart>
    <c:autoTitleDeleted val="1"/>
    <c:pivotFmts>
      <c:pivotFmt>
        <c:idx val="0"/>
        <c:spPr>
          <a:solidFill>
            <a:schemeClr val="accent1"/>
          </a:solidFill>
          <a:ln w="19050">
            <a:solidFill>
              <a:schemeClr val="lt1"/>
            </a:solidFill>
          </a:ln>
          <a:effectLst/>
        </c:spPr>
        <c:marker>
          <c:symbol val="none"/>
        </c:marker>
        <c:dLbl>
          <c:idx val="0"/>
          <c:numFmt formatCode="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'Tables and Graph&amp;Charts'!$BA$4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406-44CD-8FB6-9BAFC49DF9F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406-44CD-8FB6-9BAFC49DF9F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406-44CD-8FB6-9BAFC49DF9F8}"/>
              </c:ext>
            </c:extLst>
          </c:dPt>
          <c:dLbls>
            <c:numFmt formatCode="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'Tables and Graph&amp;Charts'!$AZ$5:$AZ$7</c:f>
              <c:strCache>
                <c:ptCount val="3"/>
                <c:pt idx="0">
                  <c:v>Building</c:v>
                </c:pt>
                <c:pt idx="1">
                  <c:v>Other</c:v>
                </c:pt>
                <c:pt idx="2">
                  <c:v>Tinshed</c:v>
                </c:pt>
              </c:strCache>
            </c:strRef>
          </c:cat>
          <c:val>
            <c:numRef>
              <c:f>'Tables and Graph&amp;Charts'!$BA$5:$BA$7</c:f>
              <c:numCache>
                <c:formatCode>General</c:formatCode>
                <c:ptCount val="3"/>
                <c:pt idx="0">
                  <c:v>191</c:v>
                </c:pt>
                <c:pt idx="1">
                  <c:v>169</c:v>
                </c:pt>
                <c:pt idx="2">
                  <c:v>173</c:v>
                </c:pt>
              </c:numCache>
            </c:numRef>
          </c:val>
          <c:extLst>
            <c:ext xmlns:c16="http://schemas.microsoft.com/office/drawing/2014/chart" uri="{C3380CC4-5D6E-409C-BE32-E72D297353CC}">
              <c16:uniqueId val="{00000000-1044-4534-99D6-25FACB0AD4D0}"/>
            </c:ext>
          </c:extLst>
        </c:ser>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[Dengue_data_Analysis.xlsm]Tables and Graph&amp;Charts!AgeGroupPositiveT</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'Tables and Graph&amp;Charts'!$BA$10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 and Graph&amp;Charts'!$AZ$11:$AZ$15</c:f>
              <c:strCache>
                <c:ptCount val="5"/>
                <c:pt idx="0">
                  <c:v>0-10</c:v>
                </c:pt>
                <c:pt idx="1">
                  <c:v>11-18</c:v>
                </c:pt>
                <c:pt idx="2">
                  <c:v>19-30</c:v>
                </c:pt>
                <c:pt idx="3">
                  <c:v>31-60</c:v>
                </c:pt>
                <c:pt idx="4">
                  <c:v>above 60</c:v>
                </c:pt>
              </c:strCache>
            </c:strRef>
          </c:cat>
          <c:val>
            <c:numRef>
              <c:f>'Tables and Graph&amp;Charts'!$BA$11:$BA$15</c:f>
              <c:numCache>
                <c:formatCode>0</c:formatCode>
                <c:ptCount val="5"/>
                <c:pt idx="0">
                  <c:v>39</c:v>
                </c:pt>
                <c:pt idx="1">
                  <c:v>73</c:v>
                </c:pt>
                <c:pt idx="2">
                  <c:v>97</c:v>
                </c:pt>
                <c:pt idx="3">
                  <c:v>281</c:v>
                </c:pt>
                <c:pt idx="4">
                  <c:v>43</c:v>
                </c:pt>
              </c:numCache>
            </c:numRef>
          </c:val>
          <c:extLst>
            <c:ext xmlns:c16="http://schemas.microsoft.com/office/drawing/2014/chart" uri="{C3380CC4-5D6E-409C-BE32-E72D297353CC}">
              <c16:uniqueId val="{00000000-9D4D-4FF7-8C3C-DC6524D432D4}"/>
            </c:ext>
          </c:extLst>
        </c:ser>
        <c:dLbls>
          <c:dLblPos val="outEnd"/>
          <c:showLegendKey val="0"/>
          <c:showVal val="1"/>
          <c:showCatName val="0"/>
          <c:showSerName val="0"/>
          <c:showPercent val="0"/>
          <c:showBubbleSize val="0"/>
        </c:dLbls>
        <c:gapWidth val="182"/>
        <c:axId val="484932591"/>
        <c:axId val="484941327"/>
      </c:barChart>
      <c:catAx>
        <c:axId val="484932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41327"/>
        <c:crosses val="autoZero"/>
        <c:auto val="1"/>
        <c:lblAlgn val="ctr"/>
        <c:lblOffset val="100"/>
        <c:noMultiLvlLbl val="0"/>
      </c:catAx>
      <c:valAx>
        <c:axId val="484941327"/>
        <c:scaling>
          <c:orientation val="minMax"/>
        </c:scaling>
        <c:delete val="1"/>
        <c:axPos val="l"/>
        <c:numFmt formatCode="0" sourceLinked="1"/>
        <c:majorTickMark val="none"/>
        <c:minorTickMark val="none"/>
        <c:tickLblPos val="nextTo"/>
        <c:crossAx val="4849325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[Dengue_data_Analysis.xlsm]Tables and Graph&amp;Charts!TotalByAtype</c:name>
    <c:fmtId val="0"/>
  </c:pivotSource>
  <c:chart>
    <c:autoTitleDeleted val="1"/>
    <c:pivotFmts>
      <c:pivotFmt>
        <c:idx val="0"/>
        <c:spPr>
          <a:solidFill>
            <a:schemeClr val="accent1"/>
          </a:solidFill>
          <a:ln w="19050">
            <a:solidFill>
              <a:schemeClr val="lt1"/>
            </a:solidFill>
          </a:ln>
          <a:effectLst/>
        </c:spPr>
        <c:marker>
          <c:symbol val="none"/>
        </c:marker>
        <c:dLbl>
          <c:idx val="0"/>
          <c:numFmt formatCode="#,##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'Tables and Graph&amp;Charts'!$BA$22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36F-4EA8-885A-48DF5FE67E5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36F-4EA8-885A-48DF5FE67E5C}"/>
              </c:ext>
            </c:extLst>
          </c:dPt>
          <c:dLbls>
            <c:numFmt formatCode="#,##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'Tables and Graph&amp;Charts'!$AZ$23:$AZ$24</c:f>
              <c:strCache>
                <c:ptCount val="2"/>
                <c:pt idx="0">
                  <c:v>Developed</c:v>
                </c:pt>
                <c:pt idx="1">
                  <c:v>Undeveloped</c:v>
                </c:pt>
              </c:strCache>
            </c:strRef>
          </c:cat>
          <c:val>
            <c:numRef>
              <c:f>'Tables and Graph&amp;Charts'!$BA$23:$BA$24</c:f>
              <c:numCache>
                <c:formatCode>General</c:formatCode>
                <c:ptCount val="2"/>
                <c:pt idx="0">
                  <c:v>257</c:v>
                </c:pt>
                <c:pt idx="1">
                  <c:v>276</c:v>
                </c:pt>
              </c:numCache>
            </c:numRef>
          </c:val>
          <c:extLst>
            <c:ext xmlns:c16="http://schemas.microsoft.com/office/drawing/2014/chart" uri="{C3380CC4-5D6E-409C-BE32-E72D297353CC}">
              <c16:uniqueId val="{00000000-D1ED-4D82-82B7-CE45FB9C63A4}"/>
            </c:ext>
          </c:extLst>
        </c:ser>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[Dengue_data_Analysis.xlsm]Tables and Graph&amp;Charts!RiskTypeT</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'Tables and Graph&amp;Charts'!$AI$29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 and Graph&amp;Charts'!$AH$30:$AH$32</c:f>
              <c:strCache>
                <c:ptCount val="3"/>
                <c:pt idx="0">
                  <c:v>Dengue Negative</c:v>
                </c:pt>
                <c:pt idx="1">
                  <c:v>High Risk</c:v>
                </c:pt>
                <c:pt idx="2">
                  <c:v>Low Risk</c:v>
                </c:pt>
              </c:strCache>
            </c:strRef>
          </c:cat>
          <c:val>
            <c:numRef>
              <c:f>'Tables and Graph&amp;Charts'!$AI$30:$AI$32</c:f>
              <c:numCache>
                <c:formatCode>General</c:formatCode>
                <c:ptCount val="3"/>
                <c:pt idx="0">
                  <c:v>463</c:v>
                </c:pt>
                <c:pt idx="1">
                  <c:v>519</c:v>
                </c:pt>
                <c:pt idx="2">
                  <c:v>13</c:v>
                </c:pt>
              </c:numCache>
            </c:numRef>
          </c:val>
          <c:extLst>
            <c:ext xmlns:c16="http://schemas.microsoft.com/office/drawing/2014/chart" uri="{C3380CC4-5D6E-409C-BE32-E72D297353CC}">
              <c16:uniqueId val="{00000000-2930-4081-9F06-53C2DDCB4EE9}"/>
            </c:ext>
          </c:extLst>
        </c:ser>
        <c:dLbls>
          <c:dLblPos val="outEnd"/>
          <c:showLegendKey val="0"/>
          <c:showVal val="1"/>
          <c:showCatName val="0"/>
          <c:showSerName val="0"/>
          <c:showPercent val="0"/>
          <c:showBubbleSize val="0"/>
        </c:dLbls>
        <c:gapWidth val="219"/>
        <c:overlap val="-27"/>
        <c:axId val="1151624016"/>
        <c:axId val="1151620688"/>
      </c:barChart>
      <c:catAx>
        <c:axId val="115162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1620688"/>
        <c:crosses val="autoZero"/>
        <c:auto val="1"/>
        <c:lblAlgn val="ctr"/>
        <c:lblOffset val="100"/>
        <c:noMultiLvlLbl val="0"/>
      </c:catAx>
      <c:valAx>
        <c:axId val="1151620688"/>
        <c:scaling>
          <c:orientation val="minMax"/>
        </c:scaling>
        <c:delete val="1"/>
        <c:axPos val="l"/>
        <c:numFmt formatCode="General" sourceLinked="1"/>
        <c:majorTickMark val="none"/>
        <c:minorTickMark val="none"/>
        <c:tickLblPos val="nextTo"/>
        <c:crossAx val="1151624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Scroll" dx="26" fmlaLink="'Tables and Graph&amp;Charts'!$AT$2" max="100" min="1" page="10" val="38"/>
</file>

<file path=xl/ctrlProps/ctrlProp3.xml><?xml version="1.0" encoding="utf-8"?>
<formControlPr xmlns="http://schemas.microsoft.com/office/spreadsheetml/2009/9/main" objectType="Scroll" dx="26" fmlaLink="$AT$2" max="100" min="1" page="10" val="38"/>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7.png"/><Relationship Id="rId26" Type="http://schemas.openxmlformats.org/officeDocument/2006/relationships/chart" Target="../charts/chart1.xml"/><Relationship Id="rId3" Type="http://schemas.openxmlformats.org/officeDocument/2006/relationships/image" Target="../media/image3.png"/><Relationship Id="rId21" Type="http://schemas.openxmlformats.org/officeDocument/2006/relationships/image" Target="../media/image20.sv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hyperlink" Target="#'Descriptive Analysis'!A1"/><Relationship Id="rId25" Type="http://schemas.openxmlformats.org/officeDocument/2006/relationships/image" Target="../media/image24.svg"/><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image" Target="../media/image19.png"/><Relationship Id="rId29" Type="http://schemas.openxmlformats.org/officeDocument/2006/relationships/chart" Target="../charts/chart4.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image" Target="../media/image23.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2.svg"/><Relationship Id="rId28" Type="http://schemas.openxmlformats.org/officeDocument/2006/relationships/chart" Target="../charts/chart3.xml"/><Relationship Id="rId10" Type="http://schemas.openxmlformats.org/officeDocument/2006/relationships/image" Target="../media/image10.svg"/><Relationship Id="rId19" Type="http://schemas.openxmlformats.org/officeDocument/2006/relationships/image" Target="../media/image18.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image" Target="../media/image21.png"/><Relationship Id="rId27" Type="http://schemas.openxmlformats.org/officeDocument/2006/relationships/chart" Target="../charts/chart2.xml"/><Relationship Id="rId30" Type="http://schemas.openxmlformats.org/officeDocument/2006/relationships/chart" Target="../charts/chart5.xml"/></Relationships>
</file>

<file path=xl/drawings/_rels/drawing2.xml.rels><?xml version="1.0" encoding="UTF-8" standalone="yes"?>
<Relationships xmlns="http://schemas.openxmlformats.org/package/2006/relationships"><Relationship Id="rId8" Type="http://schemas.openxmlformats.org/officeDocument/2006/relationships/image" Target="../media/image27.svg"/><Relationship Id="rId13" Type="http://schemas.openxmlformats.org/officeDocument/2006/relationships/chart" Target="../charts/chart7.xml"/><Relationship Id="rId18" Type="http://schemas.openxmlformats.org/officeDocument/2006/relationships/image" Target="../media/image3.png"/><Relationship Id="rId3" Type="http://schemas.openxmlformats.org/officeDocument/2006/relationships/hyperlink" Target="#Home!A1"/><Relationship Id="rId7" Type="http://schemas.openxmlformats.org/officeDocument/2006/relationships/image" Target="../media/image7.png"/><Relationship Id="rId12" Type="http://schemas.openxmlformats.org/officeDocument/2006/relationships/image" Target="../media/image29.svg"/><Relationship Id="rId17" Type="http://schemas.openxmlformats.org/officeDocument/2006/relationships/chart" Target="../charts/chart9.xml"/><Relationship Id="rId2" Type="http://schemas.openxmlformats.org/officeDocument/2006/relationships/image" Target="../media/image25.svg"/><Relationship Id="rId16" Type="http://schemas.openxmlformats.org/officeDocument/2006/relationships/chart" Target="../charts/chart8.xml"/><Relationship Id="rId20" Type="http://schemas.openxmlformats.org/officeDocument/2006/relationships/chart" Target="../charts/chart10.xml"/><Relationship Id="rId1" Type="http://schemas.openxmlformats.org/officeDocument/2006/relationships/image" Target="../media/image9.png"/><Relationship Id="rId6" Type="http://schemas.openxmlformats.org/officeDocument/2006/relationships/chart" Target="../charts/chart6.xml"/><Relationship Id="rId11" Type="http://schemas.openxmlformats.org/officeDocument/2006/relationships/image" Target="../media/image5.png"/><Relationship Id="rId5" Type="http://schemas.openxmlformats.org/officeDocument/2006/relationships/image" Target="../media/image26.svg"/><Relationship Id="rId15" Type="http://schemas.openxmlformats.org/officeDocument/2006/relationships/image" Target="../media/image30.svg"/><Relationship Id="rId10" Type="http://schemas.openxmlformats.org/officeDocument/2006/relationships/image" Target="../media/image28.svg"/><Relationship Id="rId19" Type="http://schemas.openxmlformats.org/officeDocument/2006/relationships/image" Target="../media/image31.svg"/><Relationship Id="rId4" Type="http://schemas.openxmlformats.org/officeDocument/2006/relationships/image" Target="../media/image21.png"/><Relationship Id="rId9" Type="http://schemas.openxmlformats.org/officeDocument/2006/relationships/image" Target="../media/image11.png"/><Relationship Id="rId14"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chart" Target="../charts/chart23.xml"/><Relationship Id="rId3" Type="http://schemas.openxmlformats.org/officeDocument/2006/relationships/chart" Target="../charts/chart13.xml"/><Relationship Id="rId7" Type="http://schemas.openxmlformats.org/officeDocument/2006/relationships/chart" Target="../charts/chart17.xml"/><Relationship Id="rId12" Type="http://schemas.openxmlformats.org/officeDocument/2006/relationships/chart" Target="../charts/chart22.xml"/><Relationship Id="rId2" Type="http://schemas.openxmlformats.org/officeDocument/2006/relationships/chart" Target="../charts/chart12.xml"/><Relationship Id="rId16" Type="http://schemas.openxmlformats.org/officeDocument/2006/relationships/chart" Target="../charts/chart26.xml"/><Relationship Id="rId1" Type="http://schemas.openxmlformats.org/officeDocument/2006/relationships/chart" Target="../charts/chart11.xml"/><Relationship Id="rId6" Type="http://schemas.openxmlformats.org/officeDocument/2006/relationships/chart" Target="../charts/chart16.xml"/><Relationship Id="rId11" Type="http://schemas.openxmlformats.org/officeDocument/2006/relationships/chart" Target="../charts/chart21.xml"/><Relationship Id="rId5" Type="http://schemas.openxmlformats.org/officeDocument/2006/relationships/chart" Target="../charts/chart15.xml"/><Relationship Id="rId15" Type="http://schemas.openxmlformats.org/officeDocument/2006/relationships/chart" Target="../charts/chart25.xml"/><Relationship Id="rId10" Type="http://schemas.openxmlformats.org/officeDocument/2006/relationships/chart" Target="../charts/chart20.xml"/><Relationship Id="rId4" Type="http://schemas.openxmlformats.org/officeDocument/2006/relationships/chart" Target="../charts/chart14.xml"/><Relationship Id="rId9" Type="http://schemas.openxmlformats.org/officeDocument/2006/relationships/chart" Target="../charts/chart19.xml"/><Relationship Id="rId14" Type="http://schemas.openxmlformats.org/officeDocument/2006/relationships/chart" Target="../charts/chart2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19</xdr:col>
      <xdr:colOff>523963</xdr:colOff>
      <xdr:row>39</xdr:row>
      <xdr:rowOff>18867</xdr:rowOff>
    </xdr:to>
    <xdr:grpSp>
      <xdr:nvGrpSpPr>
        <xdr:cNvPr id="13" name="Group 12">
          <a:extLst>
            <a:ext uri="{FF2B5EF4-FFF2-40B4-BE49-F238E27FC236}">
              <a16:creationId xmlns:a16="http://schemas.microsoft.com/office/drawing/2014/main" id="{00000000-0008-0000-0000-00000D000000}"/>
            </a:ext>
          </a:extLst>
        </xdr:cNvPr>
        <xdr:cNvGrpSpPr/>
      </xdr:nvGrpSpPr>
      <xdr:grpSpPr>
        <a:xfrm>
          <a:off x="0" y="0"/>
          <a:ext cx="12106363" cy="7076892"/>
          <a:chOff x="0" y="66675"/>
          <a:chExt cx="12106363" cy="7076892"/>
        </a:xfrm>
      </xdr:grpSpPr>
      <xdr:grpSp>
        <xdr:nvGrpSpPr>
          <xdr:cNvPr id="127" name="Group 126">
            <a:extLst>
              <a:ext uri="{FF2B5EF4-FFF2-40B4-BE49-F238E27FC236}">
                <a16:creationId xmlns:a16="http://schemas.microsoft.com/office/drawing/2014/main" id="{00000000-0008-0000-0000-00007F000000}"/>
              </a:ext>
            </a:extLst>
          </xdr:cNvPr>
          <xdr:cNvGrpSpPr/>
        </xdr:nvGrpSpPr>
        <xdr:grpSpPr>
          <a:xfrm>
            <a:off x="0" y="66675"/>
            <a:ext cx="12106363" cy="7076892"/>
            <a:chOff x="0" y="63285"/>
            <a:chExt cx="12125309" cy="6717050"/>
          </a:xfrm>
        </xdr:grpSpPr>
        <xdr:sp macro="" textlink="">
          <xdr:nvSpPr>
            <xdr:cNvPr id="2" name="Rectangle: Rounded Corners 1">
              <a:extLst>
                <a:ext uri="{FF2B5EF4-FFF2-40B4-BE49-F238E27FC236}">
                  <a16:creationId xmlns:a16="http://schemas.microsoft.com/office/drawing/2014/main" id="{00000000-0008-0000-0000-000002000000}"/>
                </a:ext>
              </a:extLst>
            </xdr:cNvPr>
            <xdr:cNvSpPr/>
          </xdr:nvSpPr>
          <xdr:spPr>
            <a:xfrm>
              <a:off x="0" y="63285"/>
              <a:ext cx="12125221" cy="6717050"/>
            </a:xfrm>
            <a:prstGeom prst="roundRect">
              <a:avLst>
                <a:gd name="adj" fmla="val 2221"/>
              </a:avLst>
            </a:prstGeom>
            <a:gradFill flip="none" rotWithShape="1">
              <a:gsLst>
                <a:gs pos="23000">
                  <a:schemeClr val="accent6">
                    <a:lumMod val="67000"/>
                    <a:alpha val="72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 name="Rectangle: Rounded Corners 3">
              <a:extLst>
                <a:ext uri="{FF2B5EF4-FFF2-40B4-BE49-F238E27FC236}">
                  <a16:creationId xmlns:a16="http://schemas.microsoft.com/office/drawing/2014/main" id="{00000000-0008-0000-0000-000004000000}"/>
                </a:ext>
              </a:extLst>
            </xdr:cNvPr>
            <xdr:cNvSpPr/>
          </xdr:nvSpPr>
          <xdr:spPr>
            <a:xfrm>
              <a:off x="93747" y="155337"/>
              <a:ext cx="4199210" cy="930427"/>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 name="Rectangle: Rounded Corners 4">
              <a:extLst>
                <a:ext uri="{FF2B5EF4-FFF2-40B4-BE49-F238E27FC236}">
                  <a16:creationId xmlns:a16="http://schemas.microsoft.com/office/drawing/2014/main" id="{00000000-0008-0000-0000-000005000000}"/>
                </a:ext>
              </a:extLst>
            </xdr:cNvPr>
            <xdr:cNvSpPr/>
          </xdr:nvSpPr>
          <xdr:spPr>
            <a:xfrm>
              <a:off x="4397897" y="155337"/>
              <a:ext cx="7650581" cy="930427"/>
            </a:xfrm>
            <a:prstGeom prst="roundRect">
              <a:avLst/>
            </a:prstGeom>
            <a:solidFill>
              <a:schemeClr val="accent6"/>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 name="Rectangle: Rounded Corners 6">
              <a:extLst>
                <a:ext uri="{FF2B5EF4-FFF2-40B4-BE49-F238E27FC236}">
                  <a16:creationId xmlns:a16="http://schemas.microsoft.com/office/drawing/2014/main" id="{00000000-0008-0000-0000-000007000000}"/>
                </a:ext>
              </a:extLst>
            </xdr:cNvPr>
            <xdr:cNvSpPr/>
          </xdr:nvSpPr>
          <xdr:spPr>
            <a:xfrm>
              <a:off x="9511286" y="1137796"/>
              <a:ext cx="2542242" cy="833879"/>
            </a:xfrm>
            <a:prstGeom prst="roundRect">
              <a:avLst>
                <a:gd name="adj" fmla="val 11213"/>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98" name="Group 97">
              <a:extLst>
                <a:ext uri="{FF2B5EF4-FFF2-40B4-BE49-F238E27FC236}">
                  <a16:creationId xmlns:a16="http://schemas.microsoft.com/office/drawing/2014/main" id="{00000000-0008-0000-0000-000062000000}"/>
                </a:ext>
              </a:extLst>
            </xdr:cNvPr>
            <xdr:cNvGrpSpPr/>
          </xdr:nvGrpSpPr>
          <xdr:grpSpPr>
            <a:xfrm>
              <a:off x="8154264" y="1990725"/>
              <a:ext cx="3899266" cy="2505075"/>
              <a:chOff x="8154264" y="1990725"/>
              <a:chExt cx="3899266" cy="2505075"/>
            </a:xfrm>
          </xdr:grpSpPr>
          <xdr:sp macro="" textlink="">
            <xdr:nvSpPr>
              <xdr:cNvPr id="12" name="Rectangle: Rounded Corners 11">
                <a:extLst>
                  <a:ext uri="{FF2B5EF4-FFF2-40B4-BE49-F238E27FC236}">
                    <a16:creationId xmlns:a16="http://schemas.microsoft.com/office/drawing/2014/main" id="{00000000-0008-0000-0000-00000C000000}"/>
                  </a:ext>
                </a:extLst>
              </xdr:cNvPr>
              <xdr:cNvSpPr/>
            </xdr:nvSpPr>
            <xdr:spPr>
              <a:xfrm>
                <a:off x="8154264" y="2020470"/>
                <a:ext cx="3899266" cy="2475330"/>
              </a:xfrm>
              <a:prstGeom prst="roundRect">
                <a:avLst>
                  <a:gd name="adj" fmla="val 2052"/>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20" name="Graphic 19" descr="Presentation with pie chart with solid fill">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181975" y="1990725"/>
                <a:ext cx="371475" cy="371475"/>
              </a:xfrm>
              <a:prstGeom prst="rect">
                <a:avLst/>
              </a:prstGeom>
            </xdr:spPr>
          </xdr:pic>
        </xdr:grpSp>
        <xdr:grpSp>
          <xdr:nvGrpSpPr>
            <xdr:cNvPr id="100" name="Group 99">
              <a:extLst>
                <a:ext uri="{FF2B5EF4-FFF2-40B4-BE49-F238E27FC236}">
                  <a16:creationId xmlns:a16="http://schemas.microsoft.com/office/drawing/2014/main" id="{00000000-0008-0000-0000-000064000000}"/>
                </a:ext>
              </a:extLst>
            </xdr:cNvPr>
            <xdr:cNvGrpSpPr/>
          </xdr:nvGrpSpPr>
          <xdr:grpSpPr>
            <a:xfrm>
              <a:off x="4186200" y="2014500"/>
              <a:ext cx="3882267" cy="2505628"/>
              <a:chOff x="4176675" y="4167150"/>
              <a:chExt cx="3882267" cy="2505628"/>
            </a:xfrm>
          </xdr:grpSpPr>
          <xdr:sp macro="" textlink="">
            <xdr:nvSpPr>
              <xdr:cNvPr id="15" name="Rectangle: Rounded Corners 14">
                <a:extLst>
                  <a:ext uri="{FF2B5EF4-FFF2-40B4-BE49-F238E27FC236}">
                    <a16:creationId xmlns:a16="http://schemas.microsoft.com/office/drawing/2014/main" id="{00000000-0008-0000-0000-00000F000000}"/>
                  </a:ext>
                </a:extLst>
              </xdr:cNvPr>
              <xdr:cNvSpPr/>
            </xdr:nvSpPr>
            <xdr:spPr>
              <a:xfrm>
                <a:off x="4184259" y="4202011"/>
                <a:ext cx="3874683" cy="2470767"/>
              </a:xfrm>
              <a:prstGeom prst="roundRect">
                <a:avLst>
                  <a:gd name="adj" fmla="val 3283"/>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26" name="Graphic 25" descr="City with solid fill">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176675" y="4167150"/>
                <a:ext cx="481050" cy="481050"/>
              </a:xfrm>
              <a:prstGeom prst="rect">
                <a:avLst/>
              </a:prstGeom>
            </xdr:spPr>
          </xdr:pic>
        </xdr:grpSp>
        <xdr:grpSp>
          <xdr:nvGrpSpPr>
            <xdr:cNvPr id="96" name="Group 95">
              <a:extLst>
                <a:ext uri="{FF2B5EF4-FFF2-40B4-BE49-F238E27FC236}">
                  <a16:creationId xmlns:a16="http://schemas.microsoft.com/office/drawing/2014/main" id="{00000000-0008-0000-0000-000060000000}"/>
                </a:ext>
              </a:extLst>
            </xdr:cNvPr>
            <xdr:cNvGrpSpPr/>
          </xdr:nvGrpSpPr>
          <xdr:grpSpPr>
            <a:xfrm>
              <a:off x="2952750" y="4564801"/>
              <a:ext cx="4648200" cy="2140798"/>
              <a:chOff x="2555026" y="2002576"/>
              <a:chExt cx="2615381" cy="2140798"/>
            </a:xfrm>
          </xdr:grpSpPr>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2595716" y="2020469"/>
                <a:ext cx="2574691" cy="2122905"/>
              </a:xfrm>
              <a:prstGeom prst="roundRect">
                <a:avLst>
                  <a:gd name="adj" fmla="val 3283"/>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28" name="Graphic 27" descr="Man and woman with solid fill">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555026" y="2002576"/>
                <a:ext cx="372977" cy="426300"/>
              </a:xfrm>
              <a:prstGeom prst="rect">
                <a:avLst/>
              </a:prstGeom>
            </xdr:spPr>
          </xdr:pic>
        </xdr:grpSp>
        <xdr:grpSp>
          <xdr:nvGrpSpPr>
            <xdr:cNvPr id="99" name="Group 98">
              <a:extLst>
                <a:ext uri="{FF2B5EF4-FFF2-40B4-BE49-F238E27FC236}">
                  <a16:creationId xmlns:a16="http://schemas.microsoft.com/office/drawing/2014/main" id="{00000000-0008-0000-0000-000063000000}"/>
                </a:ext>
              </a:extLst>
            </xdr:cNvPr>
            <xdr:cNvGrpSpPr/>
          </xdr:nvGrpSpPr>
          <xdr:grpSpPr>
            <a:xfrm>
              <a:off x="7600950" y="4581525"/>
              <a:ext cx="4452580" cy="2143125"/>
              <a:chOff x="8103226" y="4444759"/>
              <a:chExt cx="3950304" cy="2283282"/>
            </a:xfrm>
          </xdr:grpSpPr>
          <xdr:sp macro="" textlink="">
            <xdr:nvSpPr>
              <xdr:cNvPr id="16" name="Rectangle: Rounded Corners 15">
                <a:extLst>
                  <a:ext uri="{FF2B5EF4-FFF2-40B4-BE49-F238E27FC236}">
                    <a16:creationId xmlns:a16="http://schemas.microsoft.com/office/drawing/2014/main" id="{00000000-0008-0000-0000-000010000000}"/>
                  </a:ext>
                </a:extLst>
              </xdr:cNvPr>
              <xdr:cNvSpPr/>
            </xdr:nvSpPr>
            <xdr:spPr>
              <a:xfrm>
                <a:off x="8154264" y="4444759"/>
                <a:ext cx="3899266" cy="2283282"/>
              </a:xfrm>
              <a:prstGeom prst="roundRect">
                <a:avLst>
                  <a:gd name="adj" fmla="val 3283"/>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noFill/>
                </a:endParaRPr>
              </a:p>
            </xdr:txBody>
          </xdr:sp>
          <xdr:pic>
            <xdr:nvPicPr>
              <xdr:cNvPr id="40" name="Graphic 39" descr="List with solid fill">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8103226" y="4455150"/>
                <a:ext cx="402600" cy="335925"/>
              </a:xfrm>
              <a:prstGeom prst="rect">
                <a:avLst/>
              </a:prstGeom>
            </xdr:spPr>
          </xdr:pic>
        </xdr:grpSp>
        <xdr:pic>
          <xdr:nvPicPr>
            <xdr:cNvPr id="42" name="Graphic 41" descr="Venn diagram with solid fill">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0" y="112256"/>
              <a:ext cx="852675" cy="852675"/>
            </a:xfrm>
            <a:prstGeom prst="rect">
              <a:avLst/>
            </a:prstGeom>
          </xdr:spPr>
        </xdr:pic>
        <xdr:grpSp>
          <xdr:nvGrpSpPr>
            <xdr:cNvPr id="101" name="Group 100">
              <a:extLst>
                <a:ext uri="{FF2B5EF4-FFF2-40B4-BE49-F238E27FC236}">
                  <a16:creationId xmlns:a16="http://schemas.microsoft.com/office/drawing/2014/main" id="{00000000-0008-0000-0000-000065000000}"/>
                </a:ext>
              </a:extLst>
            </xdr:cNvPr>
            <xdr:cNvGrpSpPr/>
          </xdr:nvGrpSpPr>
          <xdr:grpSpPr>
            <a:xfrm>
              <a:off x="85725" y="2047875"/>
              <a:ext cx="4026707" cy="2472254"/>
              <a:chOff x="85725" y="4200525"/>
              <a:chExt cx="4026707" cy="2472254"/>
            </a:xfrm>
          </xdr:grpSpPr>
          <xdr:sp macro="" textlink="">
            <xdr:nvSpPr>
              <xdr:cNvPr id="10" name="Rectangle: Rounded Corners 9">
                <a:extLst>
                  <a:ext uri="{FF2B5EF4-FFF2-40B4-BE49-F238E27FC236}">
                    <a16:creationId xmlns:a16="http://schemas.microsoft.com/office/drawing/2014/main" id="{00000000-0008-0000-0000-00000A000000}"/>
                  </a:ext>
                </a:extLst>
              </xdr:cNvPr>
              <xdr:cNvSpPr/>
            </xdr:nvSpPr>
            <xdr:spPr>
              <a:xfrm>
                <a:off x="93747" y="4202011"/>
                <a:ext cx="4018685" cy="2470768"/>
              </a:xfrm>
              <a:prstGeom prst="roundRect">
                <a:avLst>
                  <a:gd name="adj" fmla="val 3283"/>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6" name="Graphic 45" descr="Bar chart with solid fill">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85725" y="4200525"/>
                <a:ext cx="419100" cy="419100"/>
              </a:xfrm>
              <a:prstGeom prst="rect">
                <a:avLst/>
              </a:prstGeom>
            </xdr:spPr>
          </xdr:pic>
        </xdr:grpSp>
        <xdr:grpSp>
          <xdr:nvGrpSpPr>
            <xdr:cNvPr id="97" name="Group 96">
              <a:extLst>
                <a:ext uri="{FF2B5EF4-FFF2-40B4-BE49-F238E27FC236}">
                  <a16:creationId xmlns:a16="http://schemas.microsoft.com/office/drawing/2014/main" id="{00000000-0008-0000-0000-000061000000}"/>
                </a:ext>
              </a:extLst>
            </xdr:cNvPr>
            <xdr:cNvGrpSpPr/>
          </xdr:nvGrpSpPr>
          <xdr:grpSpPr>
            <a:xfrm>
              <a:off x="97425" y="4564650"/>
              <a:ext cx="2869485" cy="2132120"/>
              <a:chOff x="5240925" y="1992900"/>
              <a:chExt cx="2869485" cy="2132120"/>
            </a:xfrm>
          </xdr:grpSpPr>
          <xdr:sp macro=""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5246510" y="2013947"/>
                <a:ext cx="2863900" cy="2111073"/>
              </a:xfrm>
              <a:prstGeom prst="roundRect">
                <a:avLst>
                  <a:gd name="adj" fmla="val 3283"/>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50" name="Graphic 49" descr="Home with solid fill">
                <a:extLst>
                  <a:ext uri="{FF2B5EF4-FFF2-40B4-BE49-F238E27FC236}">
                    <a16:creationId xmlns:a16="http://schemas.microsoft.com/office/drawing/2014/main" id="{00000000-0008-0000-0000-000032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5240925" y="1992900"/>
                <a:ext cx="350250" cy="350250"/>
              </a:xfrm>
              <a:prstGeom prst="rect">
                <a:avLst/>
              </a:prstGeom>
            </xdr:spPr>
          </xdr:pic>
        </xdr:grpSp>
        <xdr:grpSp>
          <xdr:nvGrpSpPr>
            <xdr:cNvPr id="48" name="Group 47">
              <a:extLst>
                <a:ext uri="{FF2B5EF4-FFF2-40B4-BE49-F238E27FC236}">
                  <a16:creationId xmlns:a16="http://schemas.microsoft.com/office/drawing/2014/main" id="{00000000-0008-0000-0000-000030000000}"/>
                </a:ext>
              </a:extLst>
            </xdr:cNvPr>
            <xdr:cNvGrpSpPr/>
          </xdr:nvGrpSpPr>
          <xdr:grpSpPr>
            <a:xfrm>
              <a:off x="9506038" y="1154699"/>
              <a:ext cx="313834" cy="350251"/>
              <a:chOff x="4409120" y="768409"/>
              <a:chExt cx="1874248" cy="1874251"/>
            </a:xfrm>
            <a:solidFill>
              <a:schemeClr val="bg1"/>
            </a:solidFill>
          </xdr:grpSpPr>
          <xdr:pic>
            <xdr:nvPicPr>
              <xdr:cNvPr id="44" name="Graphic 43" descr="Home with solid fill">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4409120" y="768409"/>
                <a:ext cx="1874248" cy="1874251"/>
              </a:xfrm>
              <a:prstGeom prst="rect">
                <a:avLst/>
              </a:prstGeom>
            </xdr:spPr>
          </xdr:pic>
          <xdr:pic>
            <xdr:nvPicPr>
              <xdr:cNvPr id="51" name="Graphic 50" descr="Warning with solid fill">
                <a:extLst>
                  <a:ext uri="{FF2B5EF4-FFF2-40B4-BE49-F238E27FC236}">
                    <a16:creationId xmlns:a16="http://schemas.microsoft.com/office/drawing/2014/main" id="{00000000-0008-0000-0000-000033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5016541" y="1265302"/>
                <a:ext cx="666751" cy="666750"/>
              </a:xfrm>
              <a:prstGeom prst="rect">
                <a:avLst/>
              </a:prstGeom>
            </xdr:spPr>
          </xdr:pic>
        </xdr:grpSp>
        <xdr:sp macro="" textlink="">
          <xdr:nvSpPr>
            <xdr:cNvPr id="49" name="Rectangle: Rounded Corners 48">
              <a:hlinkClick xmlns:r="http://schemas.openxmlformats.org/officeDocument/2006/relationships" r:id="rId17"/>
              <a:extLst>
                <a:ext uri="{FF2B5EF4-FFF2-40B4-BE49-F238E27FC236}">
                  <a16:creationId xmlns:a16="http://schemas.microsoft.com/office/drawing/2014/main" id="{00000000-0008-0000-0000-000031000000}"/>
                </a:ext>
              </a:extLst>
            </xdr:cNvPr>
            <xdr:cNvSpPr/>
          </xdr:nvSpPr>
          <xdr:spPr>
            <a:xfrm>
              <a:off x="10896599" y="457115"/>
              <a:ext cx="1123950" cy="564481"/>
            </a:xfrm>
            <a:prstGeom prst="roundRect">
              <a:avLst/>
            </a:prstGeom>
            <a:gradFill flip="none" rotWithShape="1">
              <a:gsLst>
                <a:gs pos="0">
                  <a:schemeClr val="accent3">
                    <a:shade val="30000"/>
                    <a:satMod val="115000"/>
                  </a:schemeClr>
                </a:gs>
                <a:gs pos="50000">
                  <a:schemeClr val="accent3">
                    <a:shade val="67500"/>
                    <a:satMod val="115000"/>
                  </a:schemeClr>
                </a:gs>
                <a:gs pos="100000">
                  <a:schemeClr val="accent3">
                    <a:shade val="100000"/>
                    <a:satMod val="115000"/>
                  </a:schemeClr>
                </a:gs>
              </a:gsLst>
              <a:lin ang="27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wrap="square" lIns="0" tIns="0" rIns="0" bIns="0" rtlCol="0" anchor="ctr">
              <a:noAutofit/>
            </a:bodyPr>
            <a:lstStyle/>
            <a:p>
              <a:pPr algn="ctr"/>
              <a:r>
                <a:rPr lang="en-US" sz="1400" b="1">
                  <a:solidFill>
                    <a:schemeClr val="lt1"/>
                  </a:solidFill>
                </a:rPr>
                <a:t>Descriptive</a:t>
              </a:r>
              <a:r>
                <a:rPr lang="en-US" sz="1400" b="1" baseline="0">
                  <a:solidFill>
                    <a:schemeClr val="lt1"/>
                  </a:solidFill>
                </a:rPr>
                <a:t> Analysis</a:t>
              </a:r>
              <a:endParaRPr lang="en-US" sz="1400" b="1">
                <a:solidFill>
                  <a:schemeClr val="lt1"/>
                </a:solidFill>
              </a:endParaRPr>
            </a:p>
          </xdr:txBody>
        </xdr:sp>
        <xdr:sp macro="" textlink="">
          <xdr:nvSpPr>
            <xdr:cNvPr id="3076" name="Text Box 4">
              <a:extLst>
                <a:ext uri="{FF2B5EF4-FFF2-40B4-BE49-F238E27FC236}">
                  <a16:creationId xmlns:a16="http://schemas.microsoft.com/office/drawing/2014/main" id="{00000000-0008-0000-0000-0000040C0000}"/>
                </a:ext>
              </a:extLst>
            </xdr:cNvPr>
            <xdr:cNvSpPr txBox="1">
              <a:spLocks noChangeArrowheads="1"/>
            </xdr:cNvSpPr>
          </xdr:nvSpPr>
          <xdr:spPr bwMode="auto">
            <a:xfrm>
              <a:off x="696414" y="162731"/>
              <a:ext cx="3567925" cy="578603"/>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800" b="1" i="0">
                  <a:solidFill>
                    <a:schemeClr val="bg1"/>
                  </a:solidFill>
                  <a:effectLst/>
                  <a:latin typeface="+mn-lt"/>
                  <a:ea typeface="+mn-ea"/>
                  <a:cs typeface="+mn-cs"/>
                </a:rPr>
                <a:t>Dengue Phenomenon in Bangladesh  Dhaka Region</a:t>
              </a:r>
              <a:endParaRPr lang="en-US" sz="4000" b="1" i="0" u="none" strike="noStrike" baseline="0">
                <a:solidFill>
                  <a:schemeClr val="bg1"/>
                </a:solidFill>
                <a:latin typeface="Calibri"/>
                <a:ea typeface="Calibri"/>
                <a:cs typeface="Calibri"/>
              </a:endParaRPr>
            </a:p>
          </xdr:txBody>
        </xdr:sp>
        <xdr:sp macro="" textlink="">
          <xdr:nvSpPr>
            <xdr:cNvPr id="3077" name="Text Box 5">
              <a:extLst>
                <a:ext uri="{FF2B5EF4-FFF2-40B4-BE49-F238E27FC236}">
                  <a16:creationId xmlns:a16="http://schemas.microsoft.com/office/drawing/2014/main" id="{00000000-0008-0000-0000-0000050C0000}"/>
                </a:ext>
              </a:extLst>
            </xdr:cNvPr>
            <xdr:cNvSpPr txBox="1">
              <a:spLocks noChangeArrowheads="1"/>
            </xdr:cNvSpPr>
          </xdr:nvSpPr>
          <xdr:spPr bwMode="auto">
            <a:xfrm>
              <a:off x="781049" y="705656"/>
              <a:ext cx="3235250" cy="45339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u="none" strike="noStrike" baseline="0">
                  <a:solidFill>
                    <a:schemeClr val="bg1"/>
                  </a:solidFill>
                  <a:latin typeface="Calibri"/>
                  <a:ea typeface="Calibri"/>
                  <a:cs typeface="Calibri"/>
                </a:rPr>
                <a:t>Data-Driven Insights for the City Corporation &amp; Health Ministry</a:t>
              </a:r>
            </a:p>
          </xdr:txBody>
        </xdr:sp>
        <mc:AlternateContent xmlns:mc="http://schemas.openxmlformats.org/markup-compatibility/2006" xmlns:a14="http://schemas.microsoft.com/office/drawing/2010/main">
          <mc:Choice Requires="a14">
            <xdr:graphicFrame macro="">
              <xdr:nvGraphicFramePr>
                <xdr:cNvPr id="58" name="HouseType 1">
                  <a:extLst>
                    <a:ext uri="{FF2B5EF4-FFF2-40B4-BE49-F238E27FC236}">
                      <a16:creationId xmlns:a16="http://schemas.microsoft.com/office/drawing/2014/main" id="{00000000-0008-0000-0000-00003A000000}"/>
                    </a:ext>
                  </a:extLst>
                </xdr:cNvPr>
                <xdr:cNvGraphicFramePr/>
              </xdr:nvGraphicFramePr>
              <xdr:xfrm>
                <a:off x="8407620" y="261080"/>
                <a:ext cx="2413636" cy="740014"/>
              </xdr:xfrm>
              <a:graphic>
                <a:graphicData uri="http://schemas.microsoft.com/office/drawing/2010/slicer">
                  <sle:slicer xmlns:sle="http://schemas.microsoft.com/office/drawing/2010/slicer" name="HouseType 1"/>
                </a:graphicData>
              </a:graphic>
            </xdr:graphicFrame>
          </mc:Choice>
          <mc:Fallback xmlns="">
            <xdr:sp macro="" textlink="">
              <xdr:nvSpPr>
                <xdr:cNvPr id="0" name=""/>
                <xdr:cNvSpPr>
                  <a:spLocks noTextEdit="1"/>
                </xdr:cNvSpPr>
              </xdr:nvSpPr>
              <xdr:spPr>
                <a:xfrm>
                  <a:off x="8394483" y="208391"/>
                  <a:ext cx="2409865" cy="7796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9" name="AreaType 1">
                  <a:extLst>
                    <a:ext uri="{FF2B5EF4-FFF2-40B4-BE49-F238E27FC236}">
                      <a16:creationId xmlns:a16="http://schemas.microsoft.com/office/drawing/2014/main" id="{00000000-0008-0000-0000-00003B000000}"/>
                    </a:ext>
                  </a:extLst>
                </xdr:cNvPr>
                <xdr:cNvGraphicFramePr/>
              </xdr:nvGraphicFramePr>
              <xdr:xfrm>
                <a:off x="6112214" y="269635"/>
                <a:ext cx="2242185" cy="730489"/>
              </xdr:xfrm>
              <a:graphic>
                <a:graphicData uri="http://schemas.microsoft.com/office/drawing/2010/slicer">
                  <sle:slicer xmlns:sle="http://schemas.microsoft.com/office/drawing/2010/slicer" name="AreaType 1"/>
                </a:graphicData>
              </a:graphic>
            </xdr:graphicFrame>
          </mc:Choice>
          <mc:Fallback xmlns="">
            <xdr:sp macro="" textlink="">
              <xdr:nvSpPr>
                <xdr:cNvPr id="0" name=""/>
                <xdr:cNvSpPr>
                  <a:spLocks noTextEdit="1"/>
                </xdr:cNvSpPr>
              </xdr:nvSpPr>
              <xdr:spPr>
                <a:xfrm>
                  <a:off x="6102664" y="217404"/>
                  <a:ext cx="2238682" cy="7696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0" name="Gender 1">
                  <a:extLst>
                    <a:ext uri="{FF2B5EF4-FFF2-40B4-BE49-F238E27FC236}">
                      <a16:creationId xmlns:a16="http://schemas.microsoft.com/office/drawing/2014/main" id="{00000000-0008-0000-0000-00003C000000}"/>
                    </a:ext>
                  </a:extLst>
                </xdr:cNvPr>
                <xdr:cNvGraphicFramePr/>
              </xdr:nvGraphicFramePr>
              <xdr:xfrm>
                <a:off x="4550338" y="288687"/>
                <a:ext cx="1499235" cy="711438"/>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4543228" y="237477"/>
                  <a:ext cx="1496892" cy="7495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Tables and Graph&amp;Charts'!P22:P23">
          <xdr:nvSpPr>
            <xdr:cNvPr id="62" name="TextBox 61">
              <a:extLst>
                <a:ext uri="{FF2B5EF4-FFF2-40B4-BE49-F238E27FC236}">
                  <a16:creationId xmlns:a16="http://schemas.microsoft.com/office/drawing/2014/main" id="{00000000-0008-0000-0000-00003E000000}"/>
                </a:ext>
              </a:extLst>
            </xdr:cNvPr>
            <xdr:cNvSpPr txBox="1"/>
          </xdr:nvSpPr>
          <xdr:spPr>
            <a:xfrm>
              <a:off x="10376339" y="1390650"/>
              <a:ext cx="939077" cy="306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383316C-5E25-4BE8-BCEF-60DD6D3FCADF}" type="TxLink">
                <a:rPr lang="en-US" sz="1400" b="1" i="0" u="none" strike="noStrike">
                  <a:solidFill>
                    <a:schemeClr val="bg1"/>
                  </a:solidFill>
                  <a:latin typeface="Calibri"/>
                  <a:ea typeface="Calibri"/>
                  <a:cs typeface="Calibri"/>
                </a:rPr>
                <a:pPr algn="ctr"/>
                <a:t>Building</a:t>
              </a:fld>
              <a:endParaRPr lang="en-US" sz="1400" b="1">
                <a:solidFill>
                  <a:schemeClr val="bg1"/>
                </a:solidFill>
              </a:endParaRPr>
            </a:p>
          </xdr:txBody>
        </xdr:sp>
        <xdr:sp macro="" textlink="">
          <xdr:nvSpPr>
            <xdr:cNvPr id="63" name="TextBox 62">
              <a:extLst>
                <a:ext uri="{FF2B5EF4-FFF2-40B4-BE49-F238E27FC236}">
                  <a16:creationId xmlns:a16="http://schemas.microsoft.com/office/drawing/2014/main" id="{00000000-0008-0000-0000-00003F000000}"/>
                </a:ext>
              </a:extLst>
            </xdr:cNvPr>
            <xdr:cNvSpPr txBox="1"/>
          </xdr:nvSpPr>
          <xdr:spPr>
            <a:xfrm>
              <a:off x="9883343" y="1200150"/>
              <a:ext cx="2108633" cy="306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Most Rsiky House Type</a:t>
              </a:r>
            </a:p>
          </xdr:txBody>
        </xdr:sp>
        <xdr:grpSp>
          <xdr:nvGrpSpPr>
            <xdr:cNvPr id="56" name="Group 55">
              <a:extLst>
                <a:ext uri="{FF2B5EF4-FFF2-40B4-BE49-F238E27FC236}">
                  <a16:creationId xmlns:a16="http://schemas.microsoft.com/office/drawing/2014/main" id="{00000000-0008-0000-0000-000038000000}"/>
                </a:ext>
              </a:extLst>
            </xdr:cNvPr>
            <xdr:cNvGrpSpPr/>
          </xdr:nvGrpSpPr>
          <xdr:grpSpPr>
            <a:xfrm>
              <a:off x="1954875" y="1145250"/>
              <a:ext cx="2431637" cy="826425"/>
              <a:chOff x="87975" y="2173950"/>
              <a:chExt cx="2431637" cy="999675"/>
            </a:xfrm>
          </xdr:grpSpPr>
          <xdr:sp macro="" textlink="">
            <xdr:nvSpPr>
              <xdr:cNvPr id="14" name="Rectangle: Rounded Corners 13">
                <a:extLst>
                  <a:ext uri="{FF2B5EF4-FFF2-40B4-BE49-F238E27FC236}">
                    <a16:creationId xmlns:a16="http://schemas.microsoft.com/office/drawing/2014/main" id="{00000000-0008-0000-0000-00000E000000}"/>
                  </a:ext>
                </a:extLst>
              </xdr:cNvPr>
              <xdr:cNvSpPr/>
            </xdr:nvSpPr>
            <xdr:spPr>
              <a:xfrm>
                <a:off x="93748" y="2181334"/>
                <a:ext cx="2425864" cy="99229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36" name="Graphic 35" descr="Warning with solid fill">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87975" y="2173950"/>
                <a:ext cx="321600" cy="321600"/>
              </a:xfrm>
              <a:prstGeom prst="rect">
                <a:avLst/>
              </a:prstGeom>
            </xdr:spPr>
          </xdr:pic>
          <xdr:sp macro="" textlink="'Tables and Graph&amp;Charts'!P9:P10">
            <xdr:nvSpPr>
              <xdr:cNvPr id="68" name="TextBox 67">
                <a:extLst>
                  <a:ext uri="{FF2B5EF4-FFF2-40B4-BE49-F238E27FC236}">
                    <a16:creationId xmlns:a16="http://schemas.microsoft.com/office/drawing/2014/main" id="{00000000-0008-0000-0000-000044000000}"/>
                  </a:ext>
                </a:extLst>
              </xdr:cNvPr>
              <xdr:cNvSpPr txBox="1"/>
            </xdr:nvSpPr>
            <xdr:spPr>
              <a:xfrm>
                <a:off x="695325" y="2504615"/>
                <a:ext cx="11620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AECA483-CF9B-4C4D-90C3-F53F6481EEEA}" type="TxLink">
                  <a:rPr lang="en-US" sz="2000" b="1" i="0" u="none" strike="noStrike">
                    <a:solidFill>
                      <a:schemeClr val="bg1"/>
                    </a:solidFill>
                    <a:latin typeface="Calibri"/>
                    <a:ea typeface="Calibri"/>
                    <a:cs typeface="Calibri"/>
                  </a:rPr>
                  <a:pPr algn="ctr"/>
                  <a:t>533</a:t>
                </a:fld>
                <a:endParaRPr lang="en-US" sz="2000" b="1">
                  <a:solidFill>
                    <a:schemeClr val="bg1"/>
                  </a:solidFill>
                </a:endParaRPr>
              </a:p>
            </xdr:txBody>
          </xdr:sp>
          <xdr:sp macro="" textlink="">
            <xdr:nvSpPr>
              <xdr:cNvPr id="69" name="TextBox 68">
                <a:extLst>
                  <a:ext uri="{FF2B5EF4-FFF2-40B4-BE49-F238E27FC236}">
                    <a16:creationId xmlns:a16="http://schemas.microsoft.com/office/drawing/2014/main" id="{00000000-0008-0000-0000-000045000000}"/>
                  </a:ext>
                </a:extLst>
              </xdr:cNvPr>
              <xdr:cNvSpPr txBox="1"/>
            </xdr:nvSpPr>
            <xdr:spPr>
              <a:xfrm>
                <a:off x="457200" y="2209800"/>
                <a:ext cx="18859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Dengue Positive Cases</a:t>
                </a:r>
              </a:p>
            </xdr:txBody>
          </xdr:sp>
        </xdr:grpSp>
        <xdr:sp macro="" textlink="'Tables and Graph&amp;Charts'!P13:P14">
          <xdr:nvSpPr>
            <xdr:cNvPr id="70" name="TextBox 69">
              <a:extLst>
                <a:ext uri="{FF2B5EF4-FFF2-40B4-BE49-F238E27FC236}">
                  <a16:creationId xmlns:a16="http://schemas.microsoft.com/office/drawing/2014/main" id="{00000000-0008-0000-0000-000046000000}"/>
                </a:ext>
              </a:extLst>
            </xdr:cNvPr>
            <xdr:cNvSpPr txBox="1"/>
          </xdr:nvSpPr>
          <xdr:spPr>
            <a:xfrm>
              <a:off x="3417973" y="1623880"/>
              <a:ext cx="11620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3DE2B8C-6363-4C8F-9101-2FCD06EAC1BC}" type="TxLink">
                <a:rPr lang="en-US" sz="1400" b="1" i="0" u="none" strike="noStrike">
                  <a:solidFill>
                    <a:schemeClr val="bg1"/>
                  </a:solidFill>
                  <a:latin typeface="Calibri"/>
                  <a:ea typeface="Calibri"/>
                  <a:cs typeface="Calibri"/>
                </a:rPr>
                <a:pPr algn="ctr"/>
                <a:t>53.5%</a:t>
              </a:fld>
              <a:endParaRPr lang="en-US" sz="1400" b="1">
                <a:solidFill>
                  <a:schemeClr val="bg1"/>
                </a:solidFill>
              </a:endParaRPr>
            </a:p>
          </xdr:txBody>
        </xdr:sp>
        <xdr:sp macro="" textlink="">
          <xdr:nvSpPr>
            <xdr:cNvPr id="71" name="TextBox 70">
              <a:extLst>
                <a:ext uri="{FF2B5EF4-FFF2-40B4-BE49-F238E27FC236}">
                  <a16:creationId xmlns:a16="http://schemas.microsoft.com/office/drawing/2014/main" id="{00000000-0008-0000-0000-000047000000}"/>
                </a:ext>
              </a:extLst>
            </xdr:cNvPr>
            <xdr:cNvSpPr txBox="1"/>
          </xdr:nvSpPr>
          <xdr:spPr>
            <a:xfrm>
              <a:off x="2156020" y="1582119"/>
              <a:ext cx="1698103" cy="4158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aseline="0">
                  <a:solidFill>
                    <a:schemeClr val="bg1"/>
                  </a:solidFill>
                </a:rPr>
                <a:t>Ratio of Dengue Positive among Total Tests</a:t>
              </a:r>
              <a:endParaRPr lang="en-US" sz="1100">
                <a:solidFill>
                  <a:schemeClr val="bg1"/>
                </a:solidFill>
              </a:endParaRPr>
            </a:p>
          </xdr:txBody>
        </xdr:sp>
        <xdr:grpSp>
          <xdr:nvGrpSpPr>
            <xdr:cNvPr id="61" name="Group 60">
              <a:extLst>
                <a:ext uri="{FF2B5EF4-FFF2-40B4-BE49-F238E27FC236}">
                  <a16:creationId xmlns:a16="http://schemas.microsoft.com/office/drawing/2014/main" id="{00000000-0008-0000-0000-00003D000000}"/>
                </a:ext>
              </a:extLst>
            </xdr:cNvPr>
            <xdr:cNvGrpSpPr/>
          </xdr:nvGrpSpPr>
          <xdr:grpSpPr>
            <a:xfrm>
              <a:off x="93747" y="1161901"/>
              <a:ext cx="1773153" cy="828823"/>
              <a:chOff x="93747" y="1190476"/>
              <a:chExt cx="1773153" cy="920389"/>
            </a:xfrm>
          </xdr:grpSpPr>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93747" y="1194373"/>
                <a:ext cx="1773153" cy="916492"/>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38" name="Graphic 37" descr="Test tubes with solid fill">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04626" y="1190476"/>
                <a:ext cx="400200" cy="400200"/>
              </a:xfrm>
              <a:prstGeom prst="rect">
                <a:avLst/>
              </a:prstGeom>
            </xdr:spPr>
          </xdr:pic>
          <xdr:sp macro="" textlink="">
            <xdr:nvSpPr>
              <xdr:cNvPr id="53" name="TextBox 52">
                <a:extLst>
                  <a:ext uri="{FF2B5EF4-FFF2-40B4-BE49-F238E27FC236}">
                    <a16:creationId xmlns:a16="http://schemas.microsoft.com/office/drawing/2014/main" id="{00000000-0008-0000-0000-000035000000}"/>
                  </a:ext>
                </a:extLst>
              </xdr:cNvPr>
              <xdr:cNvSpPr txBox="1"/>
            </xdr:nvSpPr>
            <xdr:spPr>
              <a:xfrm>
                <a:off x="552450" y="1257300"/>
                <a:ext cx="11620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Total Tests</a:t>
                </a:r>
              </a:p>
            </xdr:txBody>
          </xdr:sp>
          <xdr:sp macro="" textlink="'Tables and Graph&amp;Charts'!P6:P7">
            <xdr:nvSpPr>
              <xdr:cNvPr id="72" name="TextBox 71">
                <a:extLst>
                  <a:ext uri="{FF2B5EF4-FFF2-40B4-BE49-F238E27FC236}">
                    <a16:creationId xmlns:a16="http://schemas.microsoft.com/office/drawing/2014/main" id="{00000000-0008-0000-0000-000048000000}"/>
                  </a:ext>
                </a:extLst>
              </xdr:cNvPr>
              <xdr:cNvSpPr txBox="1"/>
            </xdr:nvSpPr>
            <xdr:spPr>
              <a:xfrm>
                <a:off x="542925" y="1590675"/>
                <a:ext cx="11620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23ABB7F-DA63-4229-B0DA-C9C175807277}" type="TxLink">
                  <a:rPr lang="en-US" sz="3200" b="1" i="0" u="none" strike="noStrike">
                    <a:solidFill>
                      <a:schemeClr val="bg1"/>
                    </a:solidFill>
                    <a:latin typeface="Calibri"/>
                    <a:ea typeface="Calibri"/>
                    <a:cs typeface="Calibri"/>
                  </a:rPr>
                  <a:pPr algn="ctr"/>
                  <a:t>996</a:t>
                </a:fld>
                <a:endParaRPr lang="en-US" sz="3200" b="1">
                  <a:solidFill>
                    <a:schemeClr val="bg1"/>
                  </a:solidFill>
                </a:endParaRPr>
              </a:p>
            </xdr:txBody>
          </xdr:sp>
        </xdr:grpSp>
        <xdr:sp macro="" textlink="'Tables and Graph&amp;Charts'!Q22:Q23">
          <xdr:nvSpPr>
            <xdr:cNvPr id="76" name="TextBox 75">
              <a:extLst>
                <a:ext uri="{FF2B5EF4-FFF2-40B4-BE49-F238E27FC236}">
                  <a16:creationId xmlns:a16="http://schemas.microsoft.com/office/drawing/2014/main" id="{00000000-0008-0000-0000-00004C000000}"/>
                </a:ext>
              </a:extLst>
            </xdr:cNvPr>
            <xdr:cNvSpPr txBox="1"/>
          </xdr:nvSpPr>
          <xdr:spPr>
            <a:xfrm>
              <a:off x="11186232" y="1638300"/>
              <a:ext cx="939077" cy="306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76279D4-DDB9-459F-B0A4-20EE8C311FCC}" type="TxLink">
                <a:rPr lang="en-US" sz="1400" b="0" i="0" u="none" strike="noStrike">
                  <a:solidFill>
                    <a:schemeClr val="bg1"/>
                  </a:solidFill>
                  <a:latin typeface="Calibri"/>
                  <a:ea typeface="Calibri"/>
                  <a:cs typeface="Calibri"/>
                </a:rPr>
                <a:pPr algn="ctr"/>
                <a:t>35.8%</a:t>
              </a:fld>
              <a:endParaRPr lang="en-US" sz="1400">
                <a:solidFill>
                  <a:schemeClr val="bg1"/>
                </a:solidFill>
              </a:endParaRPr>
            </a:p>
          </xdr:txBody>
        </xdr:sp>
        <xdr:grpSp>
          <xdr:nvGrpSpPr>
            <xdr:cNvPr id="55" name="Group 54">
              <a:extLst>
                <a:ext uri="{FF2B5EF4-FFF2-40B4-BE49-F238E27FC236}">
                  <a16:creationId xmlns:a16="http://schemas.microsoft.com/office/drawing/2014/main" id="{00000000-0008-0000-0000-000037000000}"/>
                </a:ext>
              </a:extLst>
            </xdr:cNvPr>
            <xdr:cNvGrpSpPr/>
          </xdr:nvGrpSpPr>
          <xdr:grpSpPr>
            <a:xfrm>
              <a:off x="4447968" y="1111950"/>
              <a:ext cx="2304664" cy="857970"/>
              <a:chOff x="2304843" y="1111950"/>
              <a:chExt cx="2304664" cy="857970"/>
            </a:xfrm>
          </xdr:grpSpPr>
          <xdr:sp macro="" textlink="">
            <xdr:nvSpPr>
              <xdr:cNvPr id="8" name="Rectangle: Rounded Corners 7">
                <a:extLst>
                  <a:ext uri="{FF2B5EF4-FFF2-40B4-BE49-F238E27FC236}">
                    <a16:creationId xmlns:a16="http://schemas.microsoft.com/office/drawing/2014/main" id="{00000000-0008-0000-0000-000008000000}"/>
                  </a:ext>
                </a:extLst>
              </xdr:cNvPr>
              <xdr:cNvSpPr/>
            </xdr:nvSpPr>
            <xdr:spPr>
              <a:xfrm>
                <a:off x="2305050" y="1166371"/>
                <a:ext cx="2124074" cy="803549"/>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32" name="Graphic 31" descr="Map with pin with solid fill">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2340674" y="1111950"/>
                <a:ext cx="477865" cy="412050"/>
              </a:xfrm>
              <a:prstGeom prst="rect">
                <a:avLst/>
              </a:prstGeom>
            </xdr:spPr>
          </xdr:pic>
          <xdr:sp macro="" textlink="'Tables and Graph&amp;Charts'!P16:P17">
            <xdr:nvSpPr>
              <xdr:cNvPr id="66" name="TextBox 65">
                <a:extLst>
                  <a:ext uri="{FF2B5EF4-FFF2-40B4-BE49-F238E27FC236}">
                    <a16:creationId xmlns:a16="http://schemas.microsoft.com/office/drawing/2014/main" id="{00000000-0008-0000-0000-000042000000}"/>
                  </a:ext>
                </a:extLst>
              </xdr:cNvPr>
              <xdr:cNvSpPr txBox="1"/>
            </xdr:nvSpPr>
            <xdr:spPr>
              <a:xfrm>
                <a:off x="2876549" y="1409701"/>
                <a:ext cx="1276351"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0A532CB-EF63-4C27-9801-5F99F58D6D9F}" type="TxLink">
                  <a:rPr lang="en-US" sz="1400" b="1" i="0" u="none" strike="noStrike">
                    <a:solidFill>
                      <a:schemeClr val="bg1"/>
                    </a:solidFill>
                    <a:latin typeface="Calibri"/>
                    <a:ea typeface="Calibri"/>
                    <a:cs typeface="Calibri"/>
                  </a:rPr>
                  <a:pPr algn="ctr"/>
                  <a:t>Jatrabari</a:t>
                </a:fld>
                <a:endParaRPr lang="en-US" sz="1400" b="1">
                  <a:solidFill>
                    <a:schemeClr val="bg1"/>
                  </a:solidFill>
                </a:endParaRPr>
              </a:p>
            </xdr:txBody>
          </xdr:sp>
          <xdr:sp macro="" textlink="">
            <xdr:nvSpPr>
              <xdr:cNvPr id="67" name="TextBox 66">
                <a:extLst>
                  <a:ext uri="{FF2B5EF4-FFF2-40B4-BE49-F238E27FC236}">
                    <a16:creationId xmlns:a16="http://schemas.microsoft.com/office/drawing/2014/main" id="{00000000-0008-0000-0000-000043000000}"/>
                  </a:ext>
                </a:extLst>
              </xdr:cNvPr>
              <xdr:cNvSpPr txBox="1"/>
            </xdr:nvSpPr>
            <xdr:spPr>
              <a:xfrm>
                <a:off x="2648248" y="1145906"/>
                <a:ext cx="1896102"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Most High Risk Area</a:t>
                </a:r>
              </a:p>
            </xdr:txBody>
          </xdr:sp>
          <xdr:sp macro="" textlink="'Tables and Graph&amp;Charts'!Q16:Q17">
            <xdr:nvSpPr>
              <xdr:cNvPr id="74" name="TextBox 73">
                <a:extLst>
                  <a:ext uri="{FF2B5EF4-FFF2-40B4-BE49-F238E27FC236}">
                    <a16:creationId xmlns:a16="http://schemas.microsoft.com/office/drawing/2014/main" id="{00000000-0008-0000-0000-00004A000000}"/>
                  </a:ext>
                </a:extLst>
              </xdr:cNvPr>
              <xdr:cNvSpPr txBox="1"/>
            </xdr:nvSpPr>
            <xdr:spPr>
              <a:xfrm>
                <a:off x="3714750" y="1638300"/>
                <a:ext cx="89475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280B88F-3FB3-46A2-97E7-E620527A22BB}" type="TxLink">
                  <a:rPr lang="en-US" sz="1400" b="0" i="0" u="none" strike="noStrike">
                    <a:solidFill>
                      <a:schemeClr val="bg1"/>
                    </a:solidFill>
                    <a:latin typeface="Calibri"/>
                    <a:ea typeface="Calibri"/>
                    <a:cs typeface="Calibri"/>
                  </a:rPr>
                  <a:pPr algn="ctr"/>
                  <a:t>5.8%</a:t>
                </a:fld>
                <a:endParaRPr lang="en-US" sz="1400">
                  <a:solidFill>
                    <a:schemeClr val="bg1"/>
                  </a:solidFill>
                </a:endParaRPr>
              </a:p>
            </xdr:txBody>
          </xdr:sp>
          <xdr:sp macro="" textlink="'Tables and Graph&amp;Charts'!P6:P7">
            <xdr:nvSpPr>
              <xdr:cNvPr id="85" name="TextBox 84">
                <a:extLst>
                  <a:ext uri="{FF2B5EF4-FFF2-40B4-BE49-F238E27FC236}">
                    <a16:creationId xmlns:a16="http://schemas.microsoft.com/office/drawing/2014/main" id="{00000000-0008-0000-0000-000055000000}"/>
                  </a:ext>
                </a:extLst>
              </xdr:cNvPr>
              <xdr:cNvSpPr txBox="1"/>
            </xdr:nvSpPr>
            <xdr:spPr>
              <a:xfrm>
                <a:off x="2304843" y="1676399"/>
                <a:ext cx="1600332"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solidFill>
                      <a:schemeClr val="bg1"/>
                    </a:solidFill>
                  </a:rPr>
                  <a:t>among Total positive cases</a:t>
                </a:r>
              </a:p>
            </xdr:txBody>
          </xdr:sp>
        </xdr:grpSp>
        <xdr:grpSp>
          <xdr:nvGrpSpPr>
            <xdr:cNvPr id="54" name="Group 53">
              <a:extLst>
                <a:ext uri="{FF2B5EF4-FFF2-40B4-BE49-F238E27FC236}">
                  <a16:creationId xmlns:a16="http://schemas.microsoft.com/office/drawing/2014/main" id="{00000000-0008-0000-0000-000036000000}"/>
                </a:ext>
              </a:extLst>
            </xdr:cNvPr>
            <xdr:cNvGrpSpPr/>
          </xdr:nvGrpSpPr>
          <xdr:grpSpPr>
            <a:xfrm>
              <a:off x="6563456" y="1166373"/>
              <a:ext cx="3034377" cy="814827"/>
              <a:chOff x="4925156" y="1156848"/>
              <a:chExt cx="3034377" cy="814827"/>
            </a:xfrm>
          </xdr:grpSpPr>
          <xdr:sp macro="" textlink="">
            <xdr:nvSpPr>
              <xdr:cNvPr id="9" name="Rectangle: Rounded Corners 8">
                <a:extLst>
                  <a:ext uri="{FF2B5EF4-FFF2-40B4-BE49-F238E27FC236}">
                    <a16:creationId xmlns:a16="http://schemas.microsoft.com/office/drawing/2014/main" id="{00000000-0008-0000-0000-000009000000}"/>
                  </a:ext>
                </a:extLst>
              </xdr:cNvPr>
              <xdr:cNvSpPr/>
            </xdr:nvSpPr>
            <xdr:spPr>
              <a:xfrm>
                <a:off x="5003886" y="1156848"/>
                <a:ext cx="2792782" cy="803549"/>
              </a:xfrm>
              <a:prstGeom prst="roundRect">
                <a:avLst>
                  <a:gd name="adj" fmla="val 7826"/>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30" name="Graphic 29" descr="Group of people with solid fill">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5029125" y="1180950"/>
                <a:ext cx="564641" cy="419250"/>
              </a:xfrm>
              <a:prstGeom prst="rect">
                <a:avLst/>
              </a:prstGeom>
            </xdr:spPr>
          </xdr:pic>
          <xdr:sp macro="" textlink="'Tables and Graph&amp;Charts'!P19:P20">
            <xdr:nvSpPr>
              <xdr:cNvPr id="64" name="TextBox 63">
                <a:extLst>
                  <a:ext uri="{FF2B5EF4-FFF2-40B4-BE49-F238E27FC236}">
                    <a16:creationId xmlns:a16="http://schemas.microsoft.com/office/drawing/2014/main" id="{00000000-0008-0000-0000-000040000000}"/>
                  </a:ext>
                </a:extLst>
              </xdr:cNvPr>
              <xdr:cNvSpPr txBox="1"/>
            </xdr:nvSpPr>
            <xdr:spPr>
              <a:xfrm>
                <a:off x="6000749" y="1362075"/>
                <a:ext cx="1275483"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FDDEA74-7973-4E67-A04D-C3D17D7B1B34}" type="TxLink">
                  <a:rPr lang="en-US" sz="1400" b="1" i="0" u="none" strike="noStrike">
                    <a:solidFill>
                      <a:schemeClr val="bg1"/>
                    </a:solidFill>
                    <a:latin typeface="Calibri"/>
                    <a:ea typeface="Calibri"/>
                    <a:cs typeface="Calibri"/>
                  </a:rPr>
                  <a:pPr algn="ctr"/>
                  <a:t>31-60</a:t>
                </a:fld>
                <a:endParaRPr lang="en-US" sz="1400" b="1">
                  <a:solidFill>
                    <a:schemeClr val="bg1"/>
                  </a:solidFill>
                </a:endParaRPr>
              </a:p>
            </xdr:txBody>
          </xdr:sp>
          <xdr:sp macro="" textlink="">
            <xdr:nvSpPr>
              <xdr:cNvPr id="65" name="TextBox 64">
                <a:extLst>
                  <a:ext uri="{FF2B5EF4-FFF2-40B4-BE49-F238E27FC236}">
                    <a16:creationId xmlns:a16="http://schemas.microsoft.com/office/drawing/2014/main" id="{00000000-0008-0000-0000-000041000000}"/>
                  </a:ext>
                </a:extLst>
              </xdr:cNvPr>
              <xdr:cNvSpPr txBox="1"/>
            </xdr:nvSpPr>
            <xdr:spPr>
              <a:xfrm>
                <a:off x="5534024" y="1171576"/>
                <a:ext cx="2425509"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Most Affected Age Group</a:t>
                </a:r>
              </a:p>
            </xdr:txBody>
          </xdr:sp>
          <xdr:sp macro="" textlink="'Tables and Graph&amp;Charts'!Q19:Q20">
            <xdr:nvSpPr>
              <xdr:cNvPr id="75" name="TextBox 74">
                <a:extLst>
                  <a:ext uri="{FF2B5EF4-FFF2-40B4-BE49-F238E27FC236}">
                    <a16:creationId xmlns:a16="http://schemas.microsoft.com/office/drawing/2014/main" id="{00000000-0008-0000-0000-00004B000000}"/>
                  </a:ext>
                </a:extLst>
              </xdr:cNvPr>
              <xdr:cNvSpPr txBox="1"/>
            </xdr:nvSpPr>
            <xdr:spPr>
              <a:xfrm>
                <a:off x="6733551" y="1676400"/>
                <a:ext cx="1139572"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5904BE6-2C06-4732-AE72-048E36D24C18}" type="TxLink">
                  <a:rPr lang="en-US" sz="1400" b="0" i="0" u="none" strike="noStrike">
                    <a:solidFill>
                      <a:schemeClr val="bg1"/>
                    </a:solidFill>
                    <a:latin typeface="Calibri"/>
                    <a:ea typeface="Calibri"/>
                    <a:cs typeface="Calibri"/>
                  </a:rPr>
                  <a:pPr algn="ctr"/>
                  <a:t>52.7%</a:t>
                </a:fld>
                <a:endParaRPr lang="en-US" sz="1400">
                  <a:solidFill>
                    <a:schemeClr val="bg1"/>
                  </a:solidFill>
                </a:endParaRPr>
              </a:p>
            </xdr:txBody>
          </xdr:sp>
          <xdr:sp macro="" textlink="'Tables and Graph&amp;Charts'!P6:P7">
            <xdr:nvSpPr>
              <xdr:cNvPr id="86" name="TextBox 85">
                <a:extLst>
                  <a:ext uri="{FF2B5EF4-FFF2-40B4-BE49-F238E27FC236}">
                    <a16:creationId xmlns:a16="http://schemas.microsoft.com/office/drawing/2014/main" id="{00000000-0008-0000-0000-000056000000}"/>
                  </a:ext>
                </a:extLst>
              </xdr:cNvPr>
              <xdr:cNvSpPr txBox="1"/>
            </xdr:nvSpPr>
            <xdr:spPr>
              <a:xfrm>
                <a:off x="4925156" y="1609725"/>
                <a:ext cx="198926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solidFill>
                      <a:schemeClr val="bg1"/>
                    </a:solidFill>
                  </a:rPr>
                  <a:t>among Total affected (100%)</a:t>
                </a:r>
              </a:p>
            </xdr:txBody>
          </xdr:sp>
        </xdr:grpSp>
        <xdr:graphicFrame macro="">
          <xdr:nvGraphicFramePr>
            <xdr:cNvPr id="107" name="TestPositivityRate">
              <a:extLst>
                <a:ext uri="{FF2B5EF4-FFF2-40B4-BE49-F238E27FC236}">
                  <a16:creationId xmlns:a16="http://schemas.microsoft.com/office/drawing/2014/main" id="{00000000-0008-0000-0000-00006B000000}"/>
                </a:ext>
              </a:extLst>
            </xdr:cNvPr>
            <xdr:cNvGraphicFramePr>
              <a:graphicFrameLocks/>
            </xdr:cNvGraphicFramePr>
          </xdr:nvGraphicFramePr>
          <xdr:xfrm>
            <a:off x="8039100" y="2362200"/>
            <a:ext cx="3914775" cy="2190750"/>
          </xdr:xfrm>
          <a:graphic>
            <a:graphicData uri="http://schemas.openxmlformats.org/drawingml/2006/chart">
              <c:chart xmlns:c="http://schemas.openxmlformats.org/drawingml/2006/chart" xmlns:r="http://schemas.openxmlformats.org/officeDocument/2006/relationships" r:id="rId26"/>
            </a:graphicData>
          </a:graphic>
        </xdr:graphicFrame>
        <xdr:graphicFrame macro="">
          <xdr:nvGraphicFramePr>
            <xdr:cNvPr id="108" name="HouseType and AreaTypeC">
              <a:extLst>
                <a:ext uri="{FF2B5EF4-FFF2-40B4-BE49-F238E27FC236}">
                  <a16:creationId xmlns:a16="http://schemas.microsoft.com/office/drawing/2014/main" id="{00000000-0008-0000-0000-00006C000000}"/>
                </a:ext>
              </a:extLst>
            </xdr:cNvPr>
            <xdr:cNvGraphicFramePr>
              <a:graphicFrameLocks/>
            </xdr:cNvGraphicFramePr>
          </xdr:nvGraphicFramePr>
          <xdr:xfrm>
            <a:off x="4371975" y="2419351"/>
            <a:ext cx="3670169" cy="2085974"/>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109" name="AgeGroup&amp;GenderC">
              <a:extLst>
                <a:ext uri="{FF2B5EF4-FFF2-40B4-BE49-F238E27FC236}">
                  <a16:creationId xmlns:a16="http://schemas.microsoft.com/office/drawing/2014/main" id="{00000000-0008-0000-0000-00006D000000}"/>
                </a:ext>
              </a:extLst>
            </xdr:cNvPr>
            <xdr:cNvGraphicFramePr>
              <a:graphicFrameLocks/>
            </xdr:cNvGraphicFramePr>
          </xdr:nvGraphicFramePr>
          <xdr:xfrm>
            <a:off x="3362007" y="4943475"/>
            <a:ext cx="4172267" cy="1649186"/>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110" name="GenderC">
              <a:extLst>
                <a:ext uri="{FF2B5EF4-FFF2-40B4-BE49-F238E27FC236}">
                  <a16:creationId xmlns:a16="http://schemas.microsoft.com/office/drawing/2014/main" id="{00000000-0008-0000-0000-00006E000000}"/>
                </a:ext>
              </a:extLst>
            </xdr:cNvPr>
            <xdr:cNvGraphicFramePr>
              <a:graphicFrameLocks/>
            </xdr:cNvGraphicFramePr>
          </xdr:nvGraphicFramePr>
          <xdr:xfrm>
            <a:off x="323850" y="4924425"/>
            <a:ext cx="2486025" cy="1685925"/>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111" name="Top10AreaC">
              <a:extLst>
                <a:ext uri="{FF2B5EF4-FFF2-40B4-BE49-F238E27FC236}">
                  <a16:creationId xmlns:a16="http://schemas.microsoft.com/office/drawing/2014/main" id="{00000000-0008-0000-0000-00006F000000}"/>
                </a:ext>
              </a:extLst>
            </xdr:cNvPr>
            <xdr:cNvGraphicFramePr>
              <a:graphicFrameLocks/>
            </xdr:cNvGraphicFramePr>
          </xdr:nvGraphicFramePr>
          <xdr:xfrm>
            <a:off x="219075" y="2476499"/>
            <a:ext cx="3829049" cy="1971675"/>
          </xdr:xfrm>
          <a:graphic>
            <a:graphicData uri="http://schemas.openxmlformats.org/drawingml/2006/chart">
              <c:chart xmlns:c="http://schemas.openxmlformats.org/drawingml/2006/chart" xmlns:r="http://schemas.openxmlformats.org/officeDocument/2006/relationships" r:id="rId30"/>
            </a:graphicData>
          </a:graphic>
        </xdr:graphicFrame>
        <xdr:sp macro="" textlink="">
          <xdr:nvSpPr>
            <xdr:cNvPr id="117" name="TextBox 116">
              <a:extLst>
                <a:ext uri="{FF2B5EF4-FFF2-40B4-BE49-F238E27FC236}">
                  <a16:creationId xmlns:a16="http://schemas.microsoft.com/office/drawing/2014/main" id="{00000000-0008-0000-0000-000075000000}"/>
                </a:ext>
              </a:extLst>
            </xdr:cNvPr>
            <xdr:cNvSpPr txBox="1"/>
          </xdr:nvSpPr>
          <xdr:spPr>
            <a:xfrm>
              <a:off x="8219882" y="4566348"/>
              <a:ext cx="2914650" cy="4191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b="1">
                  <a:solidFill>
                    <a:schemeClr val="bg1"/>
                  </a:solidFill>
                </a:rPr>
                <a:t>Insights &amp; </a:t>
              </a:r>
              <a:r>
                <a:rPr lang="en-US" sz="1400" b="1">
                  <a:solidFill>
                    <a:schemeClr val="bg1"/>
                  </a:solidFill>
                  <a:effectLst/>
                  <a:latin typeface="+mn-lt"/>
                  <a:ea typeface="+mn-ea"/>
                  <a:cs typeface="+mn-cs"/>
                </a:rPr>
                <a:t>Recommndations</a:t>
              </a:r>
              <a:endParaRPr lang="en-US" sz="1400" b="1">
                <a:solidFill>
                  <a:schemeClr val="bg1"/>
                </a:solidFill>
                <a:effectLst/>
              </a:endParaRPr>
            </a:p>
          </xdr:txBody>
        </xdr:sp>
        <xdr:sp macro="" textlink="">
          <xdr:nvSpPr>
            <xdr:cNvPr id="105" name="TextBox 104">
              <a:extLst>
                <a:ext uri="{FF2B5EF4-FFF2-40B4-BE49-F238E27FC236}">
                  <a16:creationId xmlns:a16="http://schemas.microsoft.com/office/drawing/2014/main" id="{00000000-0008-0000-0000-000069000000}"/>
                </a:ext>
              </a:extLst>
            </xdr:cNvPr>
            <xdr:cNvSpPr txBox="1"/>
          </xdr:nvSpPr>
          <xdr:spPr>
            <a:xfrm>
              <a:off x="7600949" y="5032910"/>
              <a:ext cx="4505325" cy="4909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lgn="l"/>
              <a:r>
                <a:rPr lang="en-US" sz="1200">
                  <a:solidFill>
                    <a:schemeClr val="bg1"/>
                  </a:solidFill>
                </a:rPr>
                <a:t>1. High Dengue Risk Areas,satrting with                     Needs More</a:t>
              </a:r>
              <a:r>
                <a:rPr lang="en-US" sz="1200" baseline="0">
                  <a:solidFill>
                    <a:schemeClr val="bg1"/>
                  </a:solidFill>
                </a:rPr>
                <a:t> </a:t>
              </a:r>
              <a:r>
                <a:rPr lang="en-US" sz="1200">
                  <a:solidFill>
                    <a:schemeClr val="bg1"/>
                  </a:solidFill>
                </a:rPr>
                <a:t>Awareness &amp; Fogging Activities.</a:t>
              </a:r>
            </a:p>
          </xdr:txBody>
        </xdr:sp>
        <xdr:sp macro="" textlink="'Tables and Graph&amp;Charts'!P16:P17">
          <xdr:nvSpPr>
            <xdr:cNvPr id="106" name="TextBox 105">
              <a:extLst>
                <a:ext uri="{FF2B5EF4-FFF2-40B4-BE49-F238E27FC236}">
                  <a16:creationId xmlns:a16="http://schemas.microsoft.com/office/drawing/2014/main" id="{00000000-0008-0000-0000-00006A000000}"/>
                </a:ext>
              </a:extLst>
            </xdr:cNvPr>
            <xdr:cNvSpPr txBox="1"/>
          </xdr:nvSpPr>
          <xdr:spPr>
            <a:xfrm>
              <a:off x="10020299" y="5086351"/>
              <a:ext cx="930131" cy="200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E9D1E62-89EF-4873-ACDB-C2ACBDFEE6A4}" type="TxLink">
                <a:rPr lang="en-US" sz="1100" b="1" i="0" u="none" strike="noStrike">
                  <a:solidFill>
                    <a:schemeClr val="bg1"/>
                  </a:solidFill>
                  <a:latin typeface="Calibri"/>
                  <a:ea typeface="Calibri"/>
                  <a:cs typeface="Calibri"/>
                </a:rPr>
                <a:pPr algn="ctr"/>
                <a:t>Jatrabari</a:t>
              </a:fld>
              <a:endParaRPr lang="en-US" sz="1100" b="1">
                <a:solidFill>
                  <a:schemeClr val="bg1"/>
                </a:solidFill>
              </a:endParaRPr>
            </a:p>
          </xdr:txBody>
        </xdr:sp>
        <xdr:sp macro="" textlink="">
          <xdr:nvSpPr>
            <xdr:cNvPr id="122" name="TextBox 121">
              <a:extLst>
                <a:ext uri="{FF2B5EF4-FFF2-40B4-BE49-F238E27FC236}">
                  <a16:creationId xmlns:a16="http://schemas.microsoft.com/office/drawing/2014/main" id="{00000000-0008-0000-0000-00007A000000}"/>
                </a:ext>
              </a:extLst>
            </xdr:cNvPr>
            <xdr:cNvSpPr txBox="1"/>
          </xdr:nvSpPr>
          <xdr:spPr>
            <a:xfrm>
              <a:off x="7600951" y="5324476"/>
              <a:ext cx="4438649" cy="466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lgn="l"/>
              <a:r>
                <a:rPr lang="en-US" sz="1200">
                  <a:solidFill>
                    <a:schemeClr val="bg1"/>
                  </a:solidFill>
                </a:rPr>
                <a:t>2.           </a:t>
              </a:r>
              <a:r>
                <a:rPr lang="en-US" sz="1200" baseline="0">
                  <a:solidFill>
                    <a:schemeClr val="bg1"/>
                  </a:solidFill>
                </a:rPr>
                <a:t>              </a:t>
              </a:r>
              <a:r>
                <a:rPr lang="en-US" sz="1200">
                  <a:solidFill>
                    <a:schemeClr val="bg1"/>
                  </a:solidFill>
                </a:rPr>
                <a:t>Age group Are Most Affected – Need Special Cares</a:t>
              </a:r>
            </a:p>
          </xdr:txBody>
        </xdr:sp>
        <xdr:sp macro="" textlink="'Tables and Graph&amp;Charts'!E32">
          <xdr:nvSpPr>
            <xdr:cNvPr id="112" name="TextBox 111">
              <a:extLst>
                <a:ext uri="{FF2B5EF4-FFF2-40B4-BE49-F238E27FC236}">
                  <a16:creationId xmlns:a16="http://schemas.microsoft.com/office/drawing/2014/main" id="{00000000-0008-0000-0000-000070000000}"/>
                </a:ext>
              </a:extLst>
            </xdr:cNvPr>
            <xdr:cNvSpPr txBox="1"/>
          </xdr:nvSpPr>
          <xdr:spPr>
            <a:xfrm>
              <a:off x="7762875" y="5438775"/>
              <a:ext cx="108585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7CD1C96-713A-49FD-B5A1-CA3A3DA77A3D}" type="TxLink">
                <a:rPr lang="en-US" sz="1100" b="1" i="0" u="none" strike="noStrike">
                  <a:solidFill>
                    <a:schemeClr val="bg1"/>
                  </a:solidFill>
                  <a:latin typeface="Calibri"/>
                  <a:ea typeface="Calibri"/>
                  <a:cs typeface="Calibri"/>
                </a:rPr>
                <a:pPr/>
                <a:t>Female 31-60</a:t>
              </a:fld>
              <a:endParaRPr lang="en-US" sz="1100" b="1">
                <a:solidFill>
                  <a:schemeClr val="bg1"/>
                </a:solidFill>
              </a:endParaRPr>
            </a:p>
          </xdr:txBody>
        </xdr:sp>
        <xdr:sp macro="" textlink="">
          <xdr:nvSpPr>
            <xdr:cNvPr id="124" name="TextBox 123">
              <a:extLst>
                <a:ext uri="{FF2B5EF4-FFF2-40B4-BE49-F238E27FC236}">
                  <a16:creationId xmlns:a16="http://schemas.microsoft.com/office/drawing/2014/main" id="{00000000-0008-0000-0000-00007C000000}"/>
                </a:ext>
              </a:extLst>
            </xdr:cNvPr>
            <xdr:cNvSpPr txBox="1"/>
          </xdr:nvSpPr>
          <xdr:spPr>
            <a:xfrm>
              <a:off x="7600951" y="5629275"/>
              <a:ext cx="4448174"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lgn="l"/>
              <a:r>
                <a:rPr lang="en-US" sz="1200">
                  <a:solidFill>
                    <a:schemeClr val="bg1"/>
                  </a:solidFill>
                </a:rPr>
                <a:t>3.</a:t>
              </a:r>
              <a:r>
                <a:rPr lang="en-US" sz="1200" baseline="0">
                  <a:solidFill>
                    <a:schemeClr val="bg1"/>
                  </a:solidFill>
                </a:rPr>
                <a:t>                                        </a:t>
              </a:r>
              <a:r>
                <a:rPr lang="en-US" sz="1200">
                  <a:solidFill>
                    <a:schemeClr val="bg1"/>
                  </a:solidFill>
                </a:rPr>
                <a:t>Shows More Dengue  Cases –Need</a:t>
              </a:r>
              <a:r>
                <a:rPr lang="en-US" sz="1200" baseline="0">
                  <a:solidFill>
                    <a:schemeClr val="bg1"/>
                  </a:solidFill>
                </a:rPr>
                <a:t> to</a:t>
              </a:r>
              <a:r>
                <a:rPr lang="en-US" sz="1200">
                  <a:solidFill>
                    <a:schemeClr val="bg1"/>
                  </a:solidFill>
                </a:rPr>
                <a:t> Improve Living Conditions highlighting the need for better waste management.</a:t>
              </a:r>
            </a:p>
          </xdr:txBody>
        </xdr:sp>
        <xdr:sp macro="" textlink="'Tables and Graph&amp;Charts'!E15">
          <xdr:nvSpPr>
            <xdr:cNvPr id="113" name="TextBox 112">
              <a:extLst>
                <a:ext uri="{FF2B5EF4-FFF2-40B4-BE49-F238E27FC236}">
                  <a16:creationId xmlns:a16="http://schemas.microsoft.com/office/drawing/2014/main" id="{00000000-0008-0000-0000-000071000000}"/>
                </a:ext>
              </a:extLst>
            </xdr:cNvPr>
            <xdr:cNvSpPr txBox="1"/>
          </xdr:nvSpPr>
          <xdr:spPr>
            <a:xfrm>
              <a:off x="7743825" y="5648325"/>
              <a:ext cx="15240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A9FB28F-DEC2-4AFD-B322-3A29480BD89D}" type="TxLink">
                <a:rPr lang="en-US" sz="1100" b="1" i="0" u="none" strike="noStrike">
                  <a:solidFill>
                    <a:schemeClr val="bg1"/>
                  </a:solidFill>
                  <a:latin typeface="Calibri"/>
                  <a:ea typeface="Calibri"/>
                  <a:cs typeface="Calibri"/>
                </a:rPr>
                <a:pPr/>
                <a:t>Undeveloped Building</a:t>
              </a:fld>
              <a:endParaRPr lang="en-US" sz="1100" b="1">
                <a:solidFill>
                  <a:schemeClr val="bg1"/>
                </a:solidFill>
              </a:endParaRPr>
            </a:p>
          </xdr:txBody>
        </xdr:sp>
        <xdr:sp macro="" textlink="">
          <xdr:nvSpPr>
            <xdr:cNvPr id="126" name="TextBox 125">
              <a:extLst>
                <a:ext uri="{FF2B5EF4-FFF2-40B4-BE49-F238E27FC236}">
                  <a16:creationId xmlns:a16="http://schemas.microsoft.com/office/drawing/2014/main" id="{00000000-0008-0000-0000-00007E000000}"/>
                </a:ext>
              </a:extLst>
            </xdr:cNvPr>
            <xdr:cNvSpPr txBox="1"/>
          </xdr:nvSpPr>
          <xdr:spPr>
            <a:xfrm>
              <a:off x="7610476" y="6000750"/>
              <a:ext cx="4448174"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lgn="l"/>
              <a:endParaRPr lang="en-US" sz="1200">
                <a:solidFill>
                  <a:schemeClr val="bg1"/>
                </a:solidFill>
              </a:endParaRPr>
            </a:p>
            <a:p>
              <a:pPr lvl="0" algn="l"/>
              <a:r>
                <a:rPr lang="en-US" sz="1200">
                  <a:solidFill>
                    <a:schemeClr val="bg1"/>
                  </a:solidFill>
                </a:rPr>
                <a:t>4.</a:t>
              </a:r>
              <a:r>
                <a:rPr lang="en-US" sz="1200" baseline="0">
                  <a:solidFill>
                    <a:schemeClr val="bg1"/>
                  </a:solidFill>
                </a:rPr>
                <a:t> </a:t>
              </a:r>
              <a:r>
                <a:rPr lang="en-US" sz="1200">
                  <a:solidFill>
                    <a:schemeClr val="bg1"/>
                  </a:solidFill>
                </a:rPr>
                <a:t>Test Effectiveness Shows                      are</a:t>
              </a:r>
              <a:r>
                <a:rPr lang="en-US" sz="1200" baseline="0">
                  <a:solidFill>
                    <a:schemeClr val="bg1"/>
                  </a:solidFill>
                </a:rPr>
                <a:t> the </a:t>
              </a:r>
              <a:r>
                <a:rPr lang="en-US" sz="1200">
                  <a:solidFill>
                    <a:schemeClr val="bg1"/>
                  </a:solidFill>
                </a:rPr>
                <a:t>Most Reliable for Early Detection of Dengue</a:t>
              </a:r>
              <a:r>
                <a:rPr lang="en-US" sz="1200" baseline="0">
                  <a:solidFill>
                    <a:schemeClr val="bg1"/>
                  </a:solidFill>
                </a:rPr>
                <a:t> Positive</a:t>
              </a:r>
              <a:endParaRPr lang="en-US" sz="1200">
                <a:solidFill>
                  <a:schemeClr val="bg1"/>
                </a:solidFill>
              </a:endParaRPr>
            </a:p>
          </xdr:txBody>
        </xdr:sp>
        <xdr:sp macro="" textlink="'Tables and Graph&amp;Charts'!AG21">
          <xdr:nvSpPr>
            <xdr:cNvPr id="114" name="TextBox 113">
              <a:extLst>
                <a:ext uri="{FF2B5EF4-FFF2-40B4-BE49-F238E27FC236}">
                  <a16:creationId xmlns:a16="http://schemas.microsoft.com/office/drawing/2014/main" id="{00000000-0008-0000-0000-000072000000}"/>
                </a:ext>
              </a:extLst>
            </xdr:cNvPr>
            <xdr:cNvSpPr txBox="1"/>
          </xdr:nvSpPr>
          <xdr:spPr>
            <a:xfrm>
              <a:off x="9334500" y="6210300"/>
              <a:ext cx="103822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FF7D2F6-3D99-4323-A594-8FBFAAE121F9}" type="TxLink">
                <a:rPr lang="en-US" sz="1100" b="1" i="0" u="none" strike="noStrike">
                  <a:solidFill>
                    <a:schemeClr val="bg1"/>
                  </a:solidFill>
                  <a:latin typeface="Calibri"/>
                  <a:ea typeface="Calibri"/>
                  <a:cs typeface="Calibri"/>
                </a:rPr>
                <a:pPr/>
                <a:t>NS1 and IgG</a:t>
              </a:fld>
              <a:endParaRPr lang="en-US" sz="1100" b="1">
                <a:solidFill>
                  <a:schemeClr val="bg1"/>
                </a:solidFill>
              </a:endParaRPr>
            </a:p>
          </xdr:txBody>
        </xdr:sp>
        <xdr:sp macro="" textlink="">
          <xdr:nvSpPr>
            <xdr:cNvPr id="119" name="TextBox 118">
              <a:extLst>
                <a:ext uri="{FF2B5EF4-FFF2-40B4-BE49-F238E27FC236}">
                  <a16:creationId xmlns:a16="http://schemas.microsoft.com/office/drawing/2014/main" id="{00000000-0008-0000-0000-000077000000}"/>
                </a:ext>
              </a:extLst>
            </xdr:cNvPr>
            <xdr:cNvSpPr txBox="1"/>
          </xdr:nvSpPr>
          <xdr:spPr>
            <a:xfrm>
              <a:off x="4695825" y="2085975"/>
              <a:ext cx="333375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400" b="1" i="0" baseline="0">
                  <a:solidFill>
                    <a:schemeClr val="bg1"/>
                  </a:solidFill>
                  <a:effectLst/>
                  <a:latin typeface="+mn-lt"/>
                  <a:ea typeface="+mn-ea"/>
                  <a:cs typeface="+mn-cs"/>
                </a:rPr>
                <a:t>Dengue risk by House Type and Area Type</a:t>
              </a:r>
              <a:endParaRPr lang="en-US" sz="1400" b="1">
                <a:solidFill>
                  <a:schemeClr val="bg1"/>
                </a:solidFill>
                <a:effectLst/>
              </a:endParaRPr>
            </a:p>
            <a:p>
              <a:endParaRPr lang="en-US" sz="1400" b="1">
                <a:solidFill>
                  <a:schemeClr val="bg1"/>
                </a:solidFill>
              </a:endParaRPr>
            </a:p>
          </xdr:txBody>
        </xdr:sp>
        <xdr:sp macro="" textlink="">
          <xdr:nvSpPr>
            <xdr:cNvPr id="120" name="TextBox 119">
              <a:extLst>
                <a:ext uri="{FF2B5EF4-FFF2-40B4-BE49-F238E27FC236}">
                  <a16:creationId xmlns:a16="http://schemas.microsoft.com/office/drawing/2014/main" id="{00000000-0008-0000-0000-000078000000}"/>
                </a:ext>
              </a:extLst>
            </xdr:cNvPr>
            <xdr:cNvSpPr txBox="1"/>
          </xdr:nvSpPr>
          <xdr:spPr>
            <a:xfrm>
              <a:off x="495300" y="2019300"/>
              <a:ext cx="3571875" cy="561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400" b="1" i="0" baseline="0">
                  <a:solidFill>
                    <a:schemeClr val="bg1"/>
                  </a:solidFill>
                  <a:effectLst/>
                  <a:latin typeface="+mn-lt"/>
                  <a:ea typeface="+mn-ea"/>
                  <a:cs typeface="+mn-cs"/>
                </a:rPr>
                <a:t>Top 10 Mostly Dengue Affected Areas with No. of Positive Counts</a:t>
              </a:r>
              <a:endParaRPr lang="en-US" sz="1400" b="1">
                <a:solidFill>
                  <a:schemeClr val="bg1"/>
                </a:solidFill>
                <a:effectLst/>
              </a:endParaRPr>
            </a:p>
          </xdr:txBody>
        </xdr:sp>
        <xdr:sp macro="" textlink="">
          <xdr:nvSpPr>
            <xdr:cNvPr id="121" name="TextBox 120">
              <a:extLst>
                <a:ext uri="{FF2B5EF4-FFF2-40B4-BE49-F238E27FC236}">
                  <a16:creationId xmlns:a16="http://schemas.microsoft.com/office/drawing/2014/main" id="{00000000-0008-0000-0000-000079000000}"/>
                </a:ext>
              </a:extLst>
            </xdr:cNvPr>
            <xdr:cNvSpPr txBox="1"/>
          </xdr:nvSpPr>
          <xdr:spPr>
            <a:xfrm>
              <a:off x="8582025" y="1971674"/>
              <a:ext cx="3371850" cy="600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400" b="1" i="0" baseline="0">
                  <a:solidFill>
                    <a:schemeClr val="bg1"/>
                  </a:solidFill>
                  <a:effectLst/>
                  <a:latin typeface="+mn-lt"/>
                  <a:ea typeface="+mn-ea"/>
                  <a:cs typeface="+mn-cs"/>
                </a:rPr>
                <a:t>Test effectiveness over Positivity rate with Actual positive cases</a:t>
              </a:r>
              <a:endParaRPr lang="en-US" sz="1400" b="1">
                <a:solidFill>
                  <a:schemeClr val="bg1"/>
                </a:solidFill>
                <a:effectLst/>
              </a:endParaRPr>
            </a:p>
          </xdr:txBody>
        </xdr:sp>
        <xdr:sp macro="" textlink="">
          <xdr:nvSpPr>
            <xdr:cNvPr id="123" name="TextBox 122">
              <a:extLst>
                <a:ext uri="{FF2B5EF4-FFF2-40B4-BE49-F238E27FC236}">
                  <a16:creationId xmlns:a16="http://schemas.microsoft.com/office/drawing/2014/main" id="{00000000-0008-0000-0000-00007B000000}"/>
                </a:ext>
              </a:extLst>
            </xdr:cNvPr>
            <xdr:cNvSpPr txBox="1"/>
          </xdr:nvSpPr>
          <xdr:spPr>
            <a:xfrm>
              <a:off x="323955" y="4591050"/>
              <a:ext cx="2747895" cy="561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400" b="1" i="0" baseline="0">
                  <a:solidFill>
                    <a:schemeClr val="bg1"/>
                  </a:solidFill>
                  <a:effectLst/>
                  <a:latin typeface="+mn-lt"/>
                  <a:ea typeface="+mn-ea"/>
                  <a:cs typeface="+mn-cs"/>
                </a:rPr>
                <a:t>Dengue Positive Breakdown by Gender</a:t>
              </a:r>
              <a:endParaRPr lang="en-US" sz="1400" b="1">
                <a:solidFill>
                  <a:schemeClr val="bg1"/>
                </a:solidFill>
                <a:effectLst/>
              </a:endParaRPr>
            </a:p>
          </xdr:txBody>
        </xdr:sp>
        <xdr:sp macro="" textlink="">
          <xdr:nvSpPr>
            <xdr:cNvPr id="125" name="TextBox 124">
              <a:extLst>
                <a:ext uri="{FF2B5EF4-FFF2-40B4-BE49-F238E27FC236}">
                  <a16:creationId xmlns:a16="http://schemas.microsoft.com/office/drawing/2014/main" id="{00000000-0008-0000-0000-00007D000000}"/>
                </a:ext>
              </a:extLst>
            </xdr:cNvPr>
            <xdr:cNvSpPr txBox="1"/>
          </xdr:nvSpPr>
          <xdr:spPr>
            <a:xfrm>
              <a:off x="3800773" y="4627697"/>
              <a:ext cx="3468636"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400" b="1" i="0" baseline="0">
                  <a:solidFill>
                    <a:schemeClr val="bg1"/>
                  </a:solidFill>
                  <a:effectLst/>
                  <a:latin typeface="+mn-lt"/>
                  <a:ea typeface="+mn-ea"/>
                  <a:cs typeface="+mn-cs"/>
                </a:rPr>
                <a:t>Dengue Prevalence by Age Group &amp; Gender</a:t>
              </a:r>
              <a:endParaRPr lang="en-US" sz="1400" b="1">
                <a:solidFill>
                  <a:schemeClr val="bg1"/>
                </a:solidFill>
                <a:effectLst/>
              </a:endParaRPr>
            </a:p>
          </xdr:txBody>
        </xdr:sp>
      </xdr:grpSp>
      <xdr:sp macro="" textlink="'Tables and Graph&amp;Charts'!P6:P7">
        <xdr:nvSpPr>
          <xdr:cNvPr id="88" name="TextBox 87">
            <a:extLst>
              <a:ext uri="{FF2B5EF4-FFF2-40B4-BE49-F238E27FC236}">
                <a16:creationId xmlns:a16="http://schemas.microsoft.com/office/drawing/2014/main" id="{00000000-0008-0000-0000-000058000000}"/>
              </a:ext>
            </a:extLst>
          </xdr:cNvPr>
          <xdr:cNvSpPr txBox="1"/>
        </xdr:nvSpPr>
        <xdr:spPr>
          <a:xfrm>
            <a:off x="9210674" y="1762125"/>
            <a:ext cx="2305051" cy="276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solidFill>
                  <a:schemeClr val="bg1"/>
                </a:solidFill>
              </a:rPr>
              <a:t>among Total affected (100%)</a:t>
            </a:r>
          </a:p>
        </xdr:txBody>
      </xdr:sp>
      <mc:AlternateContent xmlns:mc="http://schemas.openxmlformats.org/markup-compatibility/2006">
        <mc:Choice xmlns:a14="http://schemas.microsoft.com/office/drawing/2010/main" Requires="a14">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10988040" y="226695"/>
                <a:ext cx="944880" cy="234315"/>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Clear All Filter</a:t>
                </a:r>
                <a:r>
                  <a:rPr lang="en-US" sz="1100" b="0" i="0" u="none" strike="noStrike" baseline="0">
                    <a:solidFill>
                      <a:srgbClr val="000000"/>
                    </a:solidFill>
                    <a:latin typeface="Calibri"/>
                    <a:ea typeface="Calibri"/>
                    <a:cs typeface="Calibri"/>
                  </a:rPr>
                  <a:t>s</a:t>
                </a:r>
              </a:p>
            </xdr:txBody>
          </xdr:sp>
        </mc:Choice>
        <mc:Fallback/>
      </mc:AlternateContent>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19</xdr:col>
      <xdr:colOff>590550</xdr:colOff>
      <xdr:row>39</xdr:row>
      <xdr:rowOff>11247</xdr:rowOff>
    </xdr:to>
    <xdr:grpSp>
      <xdr:nvGrpSpPr>
        <xdr:cNvPr id="26" name="Group 25">
          <a:extLst>
            <a:ext uri="{FF2B5EF4-FFF2-40B4-BE49-F238E27FC236}">
              <a16:creationId xmlns:a16="http://schemas.microsoft.com/office/drawing/2014/main" id="{00000000-0008-0000-0100-00001A000000}"/>
            </a:ext>
          </a:extLst>
        </xdr:cNvPr>
        <xdr:cNvGrpSpPr/>
      </xdr:nvGrpSpPr>
      <xdr:grpSpPr>
        <a:xfrm>
          <a:off x="0" y="0"/>
          <a:ext cx="12172950" cy="7069272"/>
          <a:chOff x="0" y="0"/>
          <a:chExt cx="12172950" cy="7069272"/>
        </a:xfrm>
      </xdr:grpSpPr>
      <xdr:sp macro="" textlink="">
        <xdr:nvSpPr>
          <xdr:cNvPr id="5" name="Rectangle: Rounded Corners 4">
            <a:extLst>
              <a:ext uri="{FF2B5EF4-FFF2-40B4-BE49-F238E27FC236}">
                <a16:creationId xmlns:a16="http://schemas.microsoft.com/office/drawing/2014/main" id="{00000000-0008-0000-0100-000005000000}"/>
              </a:ext>
            </a:extLst>
          </xdr:cNvPr>
          <xdr:cNvSpPr/>
        </xdr:nvSpPr>
        <xdr:spPr>
          <a:xfrm>
            <a:off x="0" y="0"/>
            <a:ext cx="12172950" cy="7069272"/>
          </a:xfrm>
          <a:prstGeom prst="roundRect">
            <a:avLst>
              <a:gd name="adj" fmla="val 2221"/>
            </a:avLst>
          </a:prstGeom>
          <a:gradFill flip="none" rotWithShape="1">
            <a:gsLst>
              <a:gs pos="23000">
                <a:schemeClr val="accent6">
                  <a:lumMod val="67000"/>
                  <a:alpha val="72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6" name="Rectangle: Rounded Corners 5">
            <a:extLst>
              <a:ext uri="{FF2B5EF4-FFF2-40B4-BE49-F238E27FC236}">
                <a16:creationId xmlns:a16="http://schemas.microsoft.com/office/drawing/2014/main" id="{00000000-0008-0000-0100-000006000000}"/>
              </a:ext>
            </a:extLst>
          </xdr:cNvPr>
          <xdr:cNvSpPr/>
        </xdr:nvSpPr>
        <xdr:spPr>
          <a:xfrm>
            <a:off x="93601" y="161957"/>
            <a:ext cx="3668309" cy="970076"/>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 name="Rectangle: Rounded Corners 6">
            <a:extLst>
              <a:ext uri="{FF2B5EF4-FFF2-40B4-BE49-F238E27FC236}">
                <a16:creationId xmlns:a16="http://schemas.microsoft.com/office/drawing/2014/main" id="{00000000-0008-0000-0100-000007000000}"/>
              </a:ext>
            </a:extLst>
          </xdr:cNvPr>
          <xdr:cNvSpPr/>
        </xdr:nvSpPr>
        <xdr:spPr>
          <a:xfrm>
            <a:off x="3857666" y="161957"/>
            <a:ext cx="8181511" cy="970076"/>
          </a:xfrm>
          <a:prstGeom prst="roundRect">
            <a:avLst/>
          </a:prstGeom>
          <a:solidFill>
            <a:schemeClr val="accent6"/>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3" name="Graphic 12" descr="Venn diagram with solid fill">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0" y="173595"/>
            <a:ext cx="851343" cy="889011"/>
          </a:xfrm>
          <a:prstGeom prst="rect">
            <a:avLst/>
          </a:prstGeom>
        </xdr:spPr>
      </xdr:pic>
      <xdr:sp macro="" textlink="">
        <xdr:nvSpPr>
          <xdr:cNvPr id="17" name="Rectangle: Rounded Corners 16">
            <a:hlinkClick xmlns:r="http://schemas.openxmlformats.org/officeDocument/2006/relationships" r:id="rId3"/>
            <a:extLst>
              <a:ext uri="{FF2B5EF4-FFF2-40B4-BE49-F238E27FC236}">
                <a16:creationId xmlns:a16="http://schemas.microsoft.com/office/drawing/2014/main" id="{00000000-0008-0000-0100-000011000000}"/>
              </a:ext>
            </a:extLst>
          </xdr:cNvPr>
          <xdr:cNvSpPr/>
        </xdr:nvSpPr>
        <xdr:spPr>
          <a:xfrm>
            <a:off x="10755750" y="391762"/>
            <a:ext cx="1122194" cy="503847"/>
          </a:xfrm>
          <a:prstGeom prst="roundRect">
            <a:avLst/>
          </a:prstGeom>
          <a:gradFill flip="none" rotWithShape="1">
            <a:gsLst>
              <a:gs pos="0">
                <a:schemeClr val="accent3">
                  <a:shade val="30000"/>
                  <a:satMod val="115000"/>
                </a:schemeClr>
              </a:gs>
              <a:gs pos="50000">
                <a:schemeClr val="accent3">
                  <a:shade val="67500"/>
                  <a:satMod val="115000"/>
                </a:schemeClr>
              </a:gs>
              <a:gs pos="100000">
                <a:schemeClr val="accent3">
                  <a:shade val="100000"/>
                  <a:satMod val="115000"/>
                </a:schemeClr>
              </a:gs>
            </a:gsLst>
            <a:lin ang="27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wrap="square" lIns="0" tIns="0" rIns="0" bIns="0" rtlCol="0" anchor="ctr">
            <a:noAutofit/>
          </a:bodyPr>
          <a:lstStyle/>
          <a:p>
            <a:pPr algn="ctr"/>
            <a:r>
              <a:rPr lang="en-US" sz="2800" b="1">
                <a:solidFill>
                  <a:schemeClr val="lt1"/>
                </a:solidFill>
              </a:rPr>
              <a:t>Home</a:t>
            </a:r>
          </a:p>
        </xdr:txBody>
      </xdr:sp>
      <xdr:sp macro="" textlink="">
        <xdr:nvSpPr>
          <xdr:cNvPr id="18" name="Text Box 4">
            <a:extLst>
              <a:ext uri="{FF2B5EF4-FFF2-40B4-BE49-F238E27FC236}">
                <a16:creationId xmlns:a16="http://schemas.microsoft.com/office/drawing/2014/main" id="{00000000-0008-0000-0100-000012000000}"/>
              </a:ext>
            </a:extLst>
          </xdr:cNvPr>
          <xdr:cNvSpPr txBox="1">
            <a:spLocks noChangeArrowheads="1"/>
          </xdr:cNvSpPr>
        </xdr:nvSpPr>
        <xdr:spPr bwMode="auto">
          <a:xfrm>
            <a:off x="760809" y="248273"/>
            <a:ext cx="2929116" cy="30785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800" b="1">
                <a:solidFill>
                  <a:schemeClr val="bg1"/>
                </a:solidFill>
              </a:rPr>
              <a:t>Dengue Descriptive Analysis</a:t>
            </a:r>
            <a:endParaRPr lang="en-US" sz="1800" b="1" i="0" u="none" strike="noStrike" baseline="0">
              <a:solidFill>
                <a:schemeClr val="bg1"/>
              </a:solidFill>
              <a:latin typeface="Calibri"/>
              <a:ea typeface="Calibri"/>
              <a:cs typeface="Calibri"/>
            </a:endParaRPr>
          </a:p>
        </xdr:txBody>
      </xdr:sp>
      <xdr:sp macro="" textlink="">
        <xdr:nvSpPr>
          <xdr:cNvPr id="19" name="Text Box 5">
            <a:extLst>
              <a:ext uri="{FF2B5EF4-FFF2-40B4-BE49-F238E27FC236}">
                <a16:creationId xmlns:a16="http://schemas.microsoft.com/office/drawing/2014/main" id="{00000000-0008-0000-0100-000013000000}"/>
              </a:ext>
            </a:extLst>
          </xdr:cNvPr>
          <xdr:cNvSpPr txBox="1">
            <a:spLocks noChangeArrowheads="1"/>
          </xdr:cNvSpPr>
        </xdr:nvSpPr>
        <xdr:spPr bwMode="auto">
          <a:xfrm>
            <a:off x="779831" y="566061"/>
            <a:ext cx="2938625" cy="47271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1" i="0" u="none" strike="noStrike" baseline="0">
                <a:solidFill>
                  <a:schemeClr val="bg1"/>
                </a:solidFill>
                <a:latin typeface="Calibri"/>
                <a:ea typeface="Calibri"/>
                <a:cs typeface="Calibri"/>
              </a:rPr>
              <a:t>Data-Driven Insights and Recommendations for the City Corporation &amp; Health Ministry</a:t>
            </a:r>
          </a:p>
        </xdr:txBody>
      </xdr:sp>
      <mc:AlternateContent xmlns:mc="http://schemas.openxmlformats.org/markup-compatibility/2006" xmlns:a14="http://schemas.microsoft.com/office/drawing/2010/main">
        <mc:Choice Requires="a14">
          <xdr:graphicFrame macro="">
            <xdr:nvGraphicFramePr>
              <xdr:cNvPr id="20" name="HouseType 2">
                <a:extLst>
                  <a:ext uri="{FF2B5EF4-FFF2-40B4-BE49-F238E27FC236}">
                    <a16:creationId xmlns:a16="http://schemas.microsoft.com/office/drawing/2014/main" id="{00000000-0008-0000-0100-000014000000}"/>
                  </a:ext>
                </a:extLst>
              </xdr:cNvPr>
              <xdr:cNvGraphicFramePr/>
            </xdr:nvGraphicFramePr>
            <xdr:xfrm>
              <a:off x="8080159" y="291058"/>
              <a:ext cx="2409865" cy="771550"/>
            </xdr:xfrm>
            <a:graphic>
              <a:graphicData uri="http://schemas.microsoft.com/office/drawing/2010/slicer">
                <sle:slicer xmlns:sle="http://schemas.microsoft.com/office/drawing/2010/slicer" name="HouseType 2"/>
              </a:graphicData>
            </a:graphic>
          </xdr:graphicFrame>
        </mc:Choice>
        <mc:Fallback xmlns="">
          <xdr:sp macro="" textlink="">
            <xdr:nvSpPr>
              <xdr:cNvPr id="0" name=""/>
              <xdr:cNvSpPr>
                <a:spLocks noTextEdit="1"/>
              </xdr:cNvSpPr>
            </xdr:nvSpPr>
            <xdr:spPr>
              <a:xfrm>
                <a:off x="8080159" y="291058"/>
                <a:ext cx="2409865" cy="771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1" name="AreaType 2">
                <a:extLst>
                  <a:ext uri="{FF2B5EF4-FFF2-40B4-BE49-F238E27FC236}">
                    <a16:creationId xmlns:a16="http://schemas.microsoft.com/office/drawing/2014/main" id="{00000000-0008-0000-0100-000015000000}"/>
                  </a:ext>
                </a:extLst>
              </xdr:cNvPr>
              <xdr:cNvGraphicFramePr/>
            </xdr:nvGraphicFramePr>
            <xdr:xfrm>
              <a:off x="5693089" y="281126"/>
              <a:ext cx="2238682" cy="761618"/>
            </xdr:xfrm>
            <a:graphic>
              <a:graphicData uri="http://schemas.microsoft.com/office/drawing/2010/slicer">
                <sle:slicer xmlns:sle="http://schemas.microsoft.com/office/drawing/2010/slicer" name="AreaType 2"/>
              </a:graphicData>
            </a:graphic>
          </xdr:graphicFrame>
        </mc:Choice>
        <mc:Fallback xmlns="">
          <xdr:sp macro="" textlink="">
            <xdr:nvSpPr>
              <xdr:cNvPr id="0" name=""/>
              <xdr:cNvSpPr>
                <a:spLocks noTextEdit="1"/>
              </xdr:cNvSpPr>
            </xdr:nvSpPr>
            <xdr:spPr>
              <a:xfrm>
                <a:off x="5693089" y="281126"/>
                <a:ext cx="2238682" cy="7616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2" name="Gender 2">
                <a:extLst>
                  <a:ext uri="{FF2B5EF4-FFF2-40B4-BE49-F238E27FC236}">
                    <a16:creationId xmlns:a16="http://schemas.microsoft.com/office/drawing/2014/main" id="{00000000-0008-0000-0100-000016000000}"/>
                  </a:ext>
                </a:extLst>
              </xdr:cNvPr>
              <xdr:cNvGraphicFramePr/>
            </xdr:nvGraphicFramePr>
            <xdr:xfrm>
              <a:off x="4009828" y="300988"/>
              <a:ext cx="1496892" cy="741755"/>
            </xdr:xfrm>
            <a:graphic>
              <a:graphicData uri="http://schemas.microsoft.com/office/drawing/2010/slicer">
                <sle:slicer xmlns:sle="http://schemas.microsoft.com/office/drawing/2010/slicer" name="Gender 2"/>
              </a:graphicData>
            </a:graphic>
          </xdr:graphicFrame>
        </mc:Choice>
        <mc:Fallback xmlns="">
          <xdr:sp macro="" textlink="">
            <xdr:nvSpPr>
              <xdr:cNvPr id="0" name=""/>
              <xdr:cNvSpPr>
                <a:spLocks noTextEdit="1"/>
              </xdr:cNvSpPr>
            </xdr:nvSpPr>
            <xdr:spPr>
              <a:xfrm>
                <a:off x="4009828" y="300988"/>
                <a:ext cx="1496892" cy="7417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90" name="Group 89">
            <a:extLst>
              <a:ext uri="{FF2B5EF4-FFF2-40B4-BE49-F238E27FC236}">
                <a16:creationId xmlns:a16="http://schemas.microsoft.com/office/drawing/2014/main" id="{00000000-0008-0000-0100-00005A000000}"/>
              </a:ext>
            </a:extLst>
          </xdr:cNvPr>
          <xdr:cNvGrpSpPr/>
        </xdr:nvGrpSpPr>
        <xdr:grpSpPr>
          <a:xfrm>
            <a:off x="88093" y="1216486"/>
            <a:ext cx="2301062" cy="894532"/>
            <a:chOff x="4441018" y="1159336"/>
            <a:chExt cx="2301062" cy="894532"/>
          </a:xfrm>
        </xdr:grpSpPr>
        <xdr:sp macro="" textlink="">
          <xdr:nvSpPr>
            <xdr:cNvPr id="58" name="Rectangle: Rounded Corners 57">
              <a:extLst>
                <a:ext uri="{FF2B5EF4-FFF2-40B4-BE49-F238E27FC236}">
                  <a16:creationId xmlns:a16="http://schemas.microsoft.com/office/drawing/2014/main" id="{00000000-0008-0000-0100-00003A000000}"/>
                </a:ext>
              </a:extLst>
            </xdr:cNvPr>
            <xdr:cNvSpPr/>
          </xdr:nvSpPr>
          <xdr:spPr>
            <a:xfrm>
              <a:off x="4441225" y="1216076"/>
              <a:ext cx="2120754" cy="837792"/>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59" name="Graphic 58" descr="Map with pin with solid fill">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4476793" y="1159336"/>
              <a:ext cx="477118" cy="429609"/>
            </a:xfrm>
            <a:prstGeom prst="rect">
              <a:avLst/>
            </a:prstGeom>
          </xdr:spPr>
        </xdr:pic>
        <xdr:sp macro="" textlink="'Tables and Graph&amp;Charts'!$AT$40">
          <xdr:nvSpPr>
            <xdr:cNvPr id="62" name="TextBox 61">
              <a:extLst>
                <a:ext uri="{FF2B5EF4-FFF2-40B4-BE49-F238E27FC236}">
                  <a16:creationId xmlns:a16="http://schemas.microsoft.com/office/drawing/2014/main" id="{00000000-0008-0000-0100-00003E000000}"/>
                </a:ext>
              </a:extLst>
            </xdr:cNvPr>
            <xdr:cNvSpPr txBox="1"/>
          </xdr:nvSpPr>
          <xdr:spPr>
            <a:xfrm>
              <a:off x="5734049" y="1708116"/>
              <a:ext cx="1008031" cy="3177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0B0591B-60F4-4EF2-AEC7-3F4975FDA9CE}" type="TxLink">
                <a:rPr lang="en-US" sz="2000" b="1" i="0" u="none" strike="noStrike">
                  <a:solidFill>
                    <a:schemeClr val="bg1"/>
                  </a:solidFill>
                  <a:latin typeface="Calibri"/>
                  <a:ea typeface="Calibri"/>
                  <a:cs typeface="Calibri"/>
                </a:rPr>
                <a:pPr algn="ctr"/>
                <a:t>36</a:t>
              </a:fld>
              <a:endParaRPr lang="en-US" sz="2800" b="1">
                <a:solidFill>
                  <a:schemeClr val="bg1"/>
                </a:solidFill>
              </a:endParaRPr>
            </a:p>
          </xdr:txBody>
        </xdr:sp>
        <xdr:sp macro="" textlink="'Tables and Graph&amp;Charts'!P6:P7">
          <xdr:nvSpPr>
            <xdr:cNvPr id="63" name="TextBox 62">
              <a:extLst>
                <a:ext uri="{FF2B5EF4-FFF2-40B4-BE49-F238E27FC236}">
                  <a16:creationId xmlns:a16="http://schemas.microsoft.com/office/drawing/2014/main" id="{00000000-0008-0000-0100-00003F000000}"/>
                </a:ext>
              </a:extLst>
            </xdr:cNvPr>
            <xdr:cNvSpPr txBox="1"/>
          </xdr:nvSpPr>
          <xdr:spPr>
            <a:xfrm>
              <a:off x="4441018" y="1747839"/>
              <a:ext cx="1597831" cy="287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solidFill>
                    <a:schemeClr val="bg1"/>
                  </a:solidFill>
                </a:rPr>
                <a:t>among Total positive cases</a:t>
              </a:r>
            </a:p>
          </xdr:txBody>
        </xdr:sp>
      </xdr:grpSp>
      <xdr:graphicFrame macro="">
        <xdr:nvGraphicFramePr>
          <xdr:cNvPr id="32" name="TestPositivityRate">
            <a:extLst>
              <a:ext uri="{FF2B5EF4-FFF2-40B4-BE49-F238E27FC236}">
                <a16:creationId xmlns:a16="http://schemas.microsoft.com/office/drawing/2014/main" id="{00000000-0008-0000-0100-000020000000}"/>
              </a:ext>
            </a:extLst>
          </xdr:cNvPr>
          <xdr:cNvGraphicFramePr>
            <a:graphicFrameLocks/>
          </xdr:cNvGraphicFramePr>
        </xdr:nvGraphicFramePr>
        <xdr:xfrm>
          <a:off x="8026540" y="2462864"/>
          <a:ext cx="3908657" cy="2284107"/>
        </xdr:xfrm>
        <a:graphic>
          <a:graphicData uri="http://schemas.openxmlformats.org/drawingml/2006/chart">
            <c:chart xmlns:c="http://schemas.openxmlformats.org/drawingml/2006/chart" xmlns:r="http://schemas.openxmlformats.org/officeDocument/2006/relationships" r:id="rId6"/>
          </a:graphicData>
        </a:graphic>
      </xdr:graphicFrame>
      <xdr:grpSp>
        <xdr:nvGrpSpPr>
          <xdr:cNvPr id="98" name="Group 97">
            <a:extLst>
              <a:ext uri="{FF2B5EF4-FFF2-40B4-BE49-F238E27FC236}">
                <a16:creationId xmlns:a16="http://schemas.microsoft.com/office/drawing/2014/main" id="{00000000-0008-0000-0100-000062000000}"/>
              </a:ext>
            </a:extLst>
          </xdr:cNvPr>
          <xdr:cNvGrpSpPr/>
        </xdr:nvGrpSpPr>
        <xdr:grpSpPr>
          <a:xfrm>
            <a:off x="8077202" y="1209674"/>
            <a:ext cx="3928918" cy="5734858"/>
            <a:chOff x="7589073" y="4754344"/>
            <a:chExt cx="4413130" cy="2249394"/>
          </a:xfrm>
        </xdr:grpSpPr>
        <xdr:grpSp>
          <xdr:nvGrpSpPr>
            <xdr:cNvPr id="12" name="Group 11">
              <a:extLst>
                <a:ext uri="{FF2B5EF4-FFF2-40B4-BE49-F238E27FC236}">
                  <a16:creationId xmlns:a16="http://schemas.microsoft.com/office/drawing/2014/main" id="{00000000-0008-0000-0100-00000C000000}"/>
                </a:ext>
              </a:extLst>
            </xdr:cNvPr>
            <xdr:cNvGrpSpPr/>
          </xdr:nvGrpSpPr>
          <xdr:grpSpPr>
            <a:xfrm>
              <a:off x="7589073" y="4769287"/>
              <a:ext cx="4413130" cy="2234451"/>
              <a:chOff x="8103226" y="4437124"/>
              <a:chExt cx="3921432" cy="2283282"/>
            </a:xfrm>
          </xdr:grpSpPr>
          <xdr:sp macro="" textlink="">
            <xdr:nvSpPr>
              <xdr:cNvPr id="78" name="Rectangle: Rounded Corners 77">
                <a:extLst>
                  <a:ext uri="{FF2B5EF4-FFF2-40B4-BE49-F238E27FC236}">
                    <a16:creationId xmlns:a16="http://schemas.microsoft.com/office/drawing/2014/main" id="{00000000-0008-0000-0100-00004E000000}"/>
                  </a:ext>
                </a:extLst>
              </xdr:cNvPr>
              <xdr:cNvSpPr/>
            </xdr:nvSpPr>
            <xdr:spPr>
              <a:xfrm>
                <a:off x="8125393" y="4437124"/>
                <a:ext cx="3899265" cy="2283282"/>
              </a:xfrm>
              <a:prstGeom prst="roundRect">
                <a:avLst>
                  <a:gd name="adj" fmla="val 3283"/>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285750" marR="0" lvl="0" indent="-285750" algn="l" defTabSz="914400" rtl="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400" b="0" kern="1200">
                    <a:solidFill>
                      <a:schemeClr val="lt1"/>
                    </a:solidFill>
                    <a:effectLst/>
                    <a:latin typeface="+mn-lt"/>
                    <a:ea typeface="+mn-ea"/>
                    <a:cs typeface="+mn-cs"/>
                  </a:rPr>
                  <a:t>A </a:t>
                </a:r>
                <a:r>
                  <a:rPr lang="en-US" sz="1400" b="1" kern="1200">
                    <a:solidFill>
                      <a:schemeClr val="lt1"/>
                    </a:solidFill>
                    <a:effectLst/>
                    <a:latin typeface="+mn-lt"/>
                    <a:ea typeface="+mn-ea"/>
                    <a:cs typeface="+mn-cs"/>
                  </a:rPr>
                  <a:t>significant number of high risks patients </a:t>
                </a:r>
                <a:r>
                  <a:rPr lang="en-US" sz="1400" b="0" kern="1200">
                    <a:solidFill>
                      <a:schemeClr val="lt1"/>
                    </a:solidFill>
                    <a:effectLst/>
                    <a:latin typeface="+mn-lt"/>
                    <a:ea typeface="+mn-ea"/>
                    <a:cs typeface="+mn-cs"/>
                  </a:rPr>
                  <a:t>are seen. During </a:t>
                </a:r>
                <a:r>
                  <a:rPr lang="en-US" sz="1400" b="1" kern="1200">
                    <a:solidFill>
                      <a:schemeClr val="lt1"/>
                    </a:solidFill>
                    <a:effectLst/>
                    <a:latin typeface="+mn-lt"/>
                    <a:ea typeface="+mn-ea"/>
                    <a:cs typeface="+mn-cs"/>
                  </a:rPr>
                  <a:t>epidemic</a:t>
                </a:r>
                <a:r>
                  <a:rPr lang="en-US" sz="1400" b="0" kern="1200">
                    <a:solidFill>
                      <a:schemeClr val="lt1"/>
                    </a:solidFill>
                    <a:effectLst/>
                    <a:latin typeface="+mn-lt"/>
                    <a:ea typeface="+mn-ea"/>
                    <a:cs typeface="+mn-cs"/>
                  </a:rPr>
                  <a:t> </a:t>
                </a:r>
                <a:r>
                  <a:rPr lang="en-US" sz="1400"/>
                  <a:t>diagnostic services and rapid treatment for high-risk patients</a:t>
                </a:r>
                <a:r>
                  <a:rPr lang="en-US" sz="1400" baseline="0"/>
                  <a:t> should be ensured </a:t>
                </a:r>
                <a:r>
                  <a:rPr lang="en-US" sz="1400" b="1" baseline="0"/>
                  <a:t>first</a:t>
                </a:r>
                <a:r>
                  <a:rPr lang="en-US" sz="1400" baseline="0"/>
                  <a:t>.</a:t>
                </a:r>
                <a:endParaRPr lang="en-US" sz="1400" b="0" kern="1200">
                  <a:solidFill>
                    <a:schemeClr val="lt1"/>
                  </a:solidFill>
                  <a:effectLst/>
                  <a:latin typeface="+mn-lt"/>
                  <a:ea typeface="+mn-ea"/>
                  <a:cs typeface="+mn-cs"/>
                </a:endParaRPr>
              </a:p>
              <a:p>
                <a:pPr marL="285750" marR="0" lvl="0" indent="-285750" algn="l" defTabSz="914400" rtl="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400" b="0" kern="1200">
                    <a:solidFill>
                      <a:schemeClr val="lt1"/>
                    </a:solidFill>
                    <a:effectLst/>
                    <a:latin typeface="+mn-lt"/>
                    <a:ea typeface="+mn-ea"/>
                    <a:cs typeface="+mn-cs"/>
                  </a:rPr>
                  <a:t>People</a:t>
                </a:r>
                <a:r>
                  <a:rPr lang="en-US" sz="1400" b="0" kern="1200" baseline="0">
                    <a:solidFill>
                      <a:schemeClr val="lt1"/>
                    </a:solidFill>
                    <a:effectLst/>
                    <a:latin typeface="+mn-lt"/>
                    <a:ea typeface="+mn-ea"/>
                    <a:cs typeface="+mn-cs"/>
                  </a:rPr>
                  <a:t> around </a:t>
                </a:r>
                <a:r>
                  <a:rPr lang="en-US" sz="1400" b="1" kern="1200" baseline="0">
                    <a:solidFill>
                      <a:schemeClr val="lt1"/>
                    </a:solidFill>
                    <a:effectLst/>
                    <a:latin typeface="+mn-lt"/>
                    <a:ea typeface="+mn-ea"/>
                    <a:cs typeface="+mn-cs"/>
                  </a:rPr>
                  <a:t>age 36 </a:t>
                </a:r>
                <a:r>
                  <a:rPr lang="en-US" sz="1400" b="0" kern="1200" baseline="0">
                    <a:solidFill>
                      <a:schemeClr val="lt1"/>
                    </a:solidFill>
                    <a:effectLst/>
                    <a:latin typeface="+mn-lt"/>
                    <a:ea typeface="+mn-ea"/>
                    <a:cs typeface="+mn-cs"/>
                  </a:rPr>
                  <a:t>are mostly getting affected by dengue. Maybe because of their workplace or moving frequently from one place to another.</a:t>
                </a:r>
                <a:endParaRPr lang="en-US" sz="1400">
                  <a:effectLst/>
                </a:endParaRPr>
              </a:p>
              <a:p>
                <a:pPr marL="285750" marR="0" lvl="0" indent="-285750" algn="l" defTabSz="914400" rtl="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400"/>
                  <a:t>As </a:t>
                </a:r>
                <a:r>
                  <a:rPr lang="en-US" sz="1400" b="1"/>
                  <a:t>age increases,</a:t>
                </a:r>
                <a:r>
                  <a:rPr lang="en-US" sz="1400"/>
                  <a:t> the likelihood of </a:t>
                </a:r>
                <a:r>
                  <a:rPr lang="en-US" sz="1400" b="1"/>
                  <a:t>dengue infection rises</a:t>
                </a:r>
                <a:r>
                  <a:rPr lang="en-US" sz="1400"/>
                  <a:t>, with the exception of individuals over 60, who show a lower incidence rate.</a:t>
                </a:r>
              </a:p>
              <a:p>
                <a:pPr marL="285750" marR="0" lvl="0" indent="-285750" algn="l" defTabSz="914400" rtl="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400" b="1" i="0" kern="1200" baseline="0">
                    <a:solidFill>
                      <a:schemeClr val="lt1"/>
                    </a:solidFill>
                    <a:effectLst/>
                    <a:latin typeface="+mn-lt"/>
                    <a:ea typeface="+mn-ea"/>
                    <a:cs typeface="+mn-cs"/>
                  </a:rPr>
                  <a:t>NS1 and IgG </a:t>
                </a:r>
                <a:r>
                  <a:rPr lang="en-US" sz="1400" b="0" i="0" kern="1200" baseline="0">
                    <a:solidFill>
                      <a:schemeClr val="lt1"/>
                    </a:solidFill>
                    <a:effectLst/>
                    <a:latin typeface="+mn-lt"/>
                    <a:ea typeface="+mn-ea"/>
                    <a:cs typeface="+mn-cs"/>
                  </a:rPr>
                  <a:t>has very strong relationship with </a:t>
                </a:r>
                <a:r>
                  <a:rPr lang="en-US" sz="1400" b="1" i="0" kern="1200" baseline="0">
                    <a:solidFill>
                      <a:schemeClr val="lt1"/>
                    </a:solidFill>
                    <a:effectLst/>
                    <a:latin typeface="+mn-lt"/>
                    <a:ea typeface="+mn-ea"/>
                    <a:cs typeface="+mn-cs"/>
                  </a:rPr>
                  <a:t>Outcome</a:t>
                </a:r>
                <a:r>
                  <a:rPr lang="en-US" sz="1400" b="0" i="0" kern="1200" baseline="0">
                    <a:solidFill>
                      <a:schemeClr val="lt1"/>
                    </a:solidFill>
                    <a:effectLst/>
                    <a:latin typeface="+mn-lt"/>
                    <a:ea typeface="+mn-ea"/>
                    <a:cs typeface="+mn-cs"/>
                  </a:rPr>
                  <a:t>. That means if a person is tested IgG and NS1 positive s/he might have dengue positive.</a:t>
                </a:r>
                <a:endParaRPr lang="en-US" sz="1400" baseline="0">
                  <a:solidFill>
                    <a:schemeClr val="bg1"/>
                  </a:solidFill>
                </a:endParaRPr>
              </a:p>
              <a:p>
                <a:pPr marL="285750" indent="-285750" algn="l">
                  <a:buFont typeface="Arial" panose="020B0604020202020204" pitchFamily="34" charset="0"/>
                  <a:buChar char="•"/>
                </a:pPr>
                <a:r>
                  <a:rPr lang="en-US" sz="1400" baseline="0">
                    <a:solidFill>
                      <a:schemeClr val="bg1"/>
                    </a:solidFill>
                  </a:rPr>
                  <a:t>If anyone has symptomps of dengue fever, then they should do </a:t>
                </a:r>
                <a:r>
                  <a:rPr lang="en-US" sz="1400" b="1" baseline="0">
                    <a:solidFill>
                      <a:schemeClr val="bg1"/>
                    </a:solidFill>
                  </a:rPr>
                  <a:t>NS1 and IgG </a:t>
                </a:r>
                <a:r>
                  <a:rPr lang="en-US" sz="1400" baseline="0">
                    <a:solidFill>
                      <a:schemeClr val="bg1"/>
                    </a:solidFill>
                  </a:rPr>
                  <a:t>tests immediately because these tests are highly reliable for early detection.</a:t>
                </a:r>
              </a:p>
              <a:p>
                <a:pPr marL="285750" marR="0" lvl="0" indent="-285750" algn="l" defTabSz="914400" rtl="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400" b="1" kern="1200">
                    <a:solidFill>
                      <a:schemeClr val="lt1"/>
                    </a:solidFill>
                    <a:effectLst/>
                    <a:latin typeface="+mn-lt"/>
                    <a:ea typeface="+mn-ea"/>
                    <a:cs typeface="+mn-cs"/>
                  </a:rPr>
                  <a:t>Jatrabri,</a:t>
                </a:r>
                <a:r>
                  <a:rPr lang="en-US" sz="1400" b="1" kern="1200" baseline="0">
                    <a:solidFill>
                      <a:schemeClr val="lt1"/>
                    </a:solidFill>
                    <a:effectLst/>
                    <a:latin typeface="+mn-lt"/>
                    <a:ea typeface="+mn-ea"/>
                    <a:cs typeface="+mn-cs"/>
                  </a:rPr>
                  <a:t> Demra, Tejgaon </a:t>
                </a:r>
                <a:r>
                  <a:rPr lang="en-US" sz="1400" kern="1200" baseline="0">
                    <a:solidFill>
                      <a:schemeClr val="lt1"/>
                    </a:solidFill>
                    <a:effectLst/>
                    <a:latin typeface="+mn-lt"/>
                    <a:ea typeface="+mn-ea"/>
                    <a:cs typeface="+mn-cs"/>
                  </a:rPr>
                  <a:t>etc. areas are mostly affected. More safety measures like fogging activities should be increased.</a:t>
                </a:r>
                <a:endParaRPr lang="en-US" sz="1100">
                  <a:effectLst/>
                </a:endParaRPr>
              </a:p>
            </xdr:txBody>
          </xdr:sp>
          <xdr:pic>
            <xdr:nvPicPr>
              <xdr:cNvPr id="79" name="Graphic 78" descr="List with solid fill">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8103226" y="4455151"/>
                <a:ext cx="402600" cy="138498"/>
              </a:xfrm>
              <a:prstGeom prst="rect">
                <a:avLst/>
              </a:prstGeom>
            </xdr:spPr>
          </xdr:pic>
        </xdr:grpSp>
        <xdr:sp macro="" textlink="">
          <xdr:nvSpPr>
            <xdr:cNvPr id="37" name="TextBox 36">
              <a:extLst>
                <a:ext uri="{FF2B5EF4-FFF2-40B4-BE49-F238E27FC236}">
                  <a16:creationId xmlns:a16="http://schemas.microsoft.com/office/drawing/2014/main" id="{00000000-0008-0000-0100-000025000000}"/>
                </a:ext>
              </a:extLst>
            </xdr:cNvPr>
            <xdr:cNvSpPr txBox="1"/>
          </xdr:nvSpPr>
          <xdr:spPr>
            <a:xfrm>
              <a:off x="8298766" y="4754344"/>
              <a:ext cx="3612656" cy="156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b="1">
                  <a:solidFill>
                    <a:schemeClr val="bg1"/>
                  </a:solidFill>
                </a:rPr>
                <a:t>More Insights &amp; </a:t>
              </a:r>
              <a:r>
                <a:rPr lang="en-US" sz="1400" b="1">
                  <a:solidFill>
                    <a:schemeClr val="bg1"/>
                  </a:solidFill>
                  <a:effectLst/>
                  <a:latin typeface="+mn-lt"/>
                  <a:ea typeface="+mn-ea"/>
                  <a:cs typeface="+mn-cs"/>
                </a:rPr>
                <a:t>Recommendations</a:t>
              </a:r>
              <a:endParaRPr lang="en-US" sz="1400" b="1">
                <a:solidFill>
                  <a:schemeClr val="bg1"/>
                </a:solidFill>
                <a:effectLst/>
              </a:endParaRPr>
            </a:p>
          </xdr:txBody>
        </xdr:sp>
      </xdr:grpSp>
      <xdr:grpSp>
        <xdr:nvGrpSpPr>
          <xdr:cNvPr id="88" name="Group 87">
            <a:extLst>
              <a:ext uri="{FF2B5EF4-FFF2-40B4-BE49-F238E27FC236}">
                <a16:creationId xmlns:a16="http://schemas.microsoft.com/office/drawing/2014/main" id="{00000000-0008-0000-0100-000058000000}"/>
              </a:ext>
            </a:extLst>
          </xdr:cNvPr>
          <xdr:cNvGrpSpPr/>
        </xdr:nvGrpSpPr>
        <xdr:grpSpPr>
          <a:xfrm>
            <a:off x="85592" y="3219450"/>
            <a:ext cx="3981583" cy="3752850"/>
            <a:chOff x="85591" y="3219450"/>
            <a:chExt cx="4020417" cy="3752850"/>
          </a:xfrm>
        </xdr:grpSpPr>
        <xdr:grpSp>
          <xdr:nvGrpSpPr>
            <xdr:cNvPr id="14" name="Group 13">
              <a:extLst>
                <a:ext uri="{FF2B5EF4-FFF2-40B4-BE49-F238E27FC236}">
                  <a16:creationId xmlns:a16="http://schemas.microsoft.com/office/drawing/2014/main" id="{00000000-0008-0000-0100-00000E000000}"/>
                </a:ext>
              </a:extLst>
            </xdr:cNvPr>
            <xdr:cNvGrpSpPr/>
          </xdr:nvGrpSpPr>
          <xdr:grpSpPr>
            <a:xfrm>
              <a:off x="85591" y="3219450"/>
              <a:ext cx="4020417" cy="3752850"/>
              <a:chOff x="85724" y="4200522"/>
              <a:chExt cx="4026708" cy="2472257"/>
            </a:xfrm>
          </xdr:grpSpPr>
          <xdr:sp macro="" textlink="">
            <xdr:nvSpPr>
              <xdr:cNvPr id="76" name="Rectangle: Rounded Corners 75">
                <a:extLst>
                  <a:ext uri="{FF2B5EF4-FFF2-40B4-BE49-F238E27FC236}">
                    <a16:creationId xmlns:a16="http://schemas.microsoft.com/office/drawing/2014/main" id="{00000000-0008-0000-0100-00004C000000}"/>
                  </a:ext>
                </a:extLst>
              </xdr:cNvPr>
              <xdr:cNvSpPr/>
            </xdr:nvSpPr>
            <xdr:spPr>
              <a:xfrm>
                <a:off x="93747" y="4202011"/>
                <a:ext cx="4018685" cy="2470768"/>
              </a:xfrm>
              <a:prstGeom prst="roundRect">
                <a:avLst>
                  <a:gd name="adj" fmla="val 3283"/>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77" name="Graphic 76" descr="Bar chart with solid fill">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5724" y="4200522"/>
                <a:ext cx="419100" cy="338837"/>
              </a:xfrm>
              <a:prstGeom prst="rect">
                <a:avLst/>
              </a:prstGeom>
            </xdr:spPr>
          </xdr:pic>
        </xdr:grpSp>
        <xdr:sp macro="" textlink="">
          <xdr:nvSpPr>
            <xdr:cNvPr id="47" name="TextBox 46">
              <a:extLst>
                <a:ext uri="{FF2B5EF4-FFF2-40B4-BE49-F238E27FC236}">
                  <a16:creationId xmlns:a16="http://schemas.microsoft.com/office/drawing/2014/main" id="{00000000-0008-0000-0100-00002F000000}"/>
                </a:ext>
              </a:extLst>
            </xdr:cNvPr>
            <xdr:cNvSpPr txBox="1"/>
          </xdr:nvSpPr>
          <xdr:spPr>
            <a:xfrm>
              <a:off x="390495" y="3334077"/>
              <a:ext cx="3566293" cy="585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400" b="1" i="0" baseline="0">
                  <a:solidFill>
                    <a:schemeClr val="bg1"/>
                  </a:solidFill>
                  <a:effectLst/>
                  <a:latin typeface="+mn-lt"/>
                  <a:ea typeface="+mn-ea"/>
                  <a:cs typeface="+mn-cs"/>
                </a:rPr>
                <a:t>All Dengue Affected Areas with No. of Positive Counts</a:t>
              </a:r>
              <a:endParaRPr lang="en-US" sz="1400" b="1">
                <a:solidFill>
                  <a:schemeClr val="bg1"/>
                </a:solidFill>
                <a:effectLst/>
              </a:endParaRPr>
            </a:p>
          </xdr:txBody>
        </xdr:sp>
      </xdr:grpSp>
      <xdr:grpSp>
        <xdr:nvGrpSpPr>
          <xdr:cNvPr id="87" name="Group 86">
            <a:extLst>
              <a:ext uri="{FF2B5EF4-FFF2-40B4-BE49-F238E27FC236}">
                <a16:creationId xmlns:a16="http://schemas.microsoft.com/office/drawing/2014/main" id="{00000000-0008-0000-0100-000057000000}"/>
              </a:ext>
            </a:extLst>
          </xdr:cNvPr>
          <xdr:cNvGrpSpPr/>
        </xdr:nvGrpSpPr>
        <xdr:grpSpPr>
          <a:xfrm>
            <a:off x="4110187" y="3219451"/>
            <a:ext cx="3938438" cy="3733800"/>
            <a:chOff x="2948136" y="4729731"/>
            <a:chExt cx="4612363" cy="2213371"/>
          </a:xfrm>
        </xdr:grpSpPr>
        <xdr:grpSp>
          <xdr:nvGrpSpPr>
            <xdr:cNvPr id="11" name="Group 10">
              <a:extLst>
                <a:ext uri="{FF2B5EF4-FFF2-40B4-BE49-F238E27FC236}">
                  <a16:creationId xmlns:a16="http://schemas.microsoft.com/office/drawing/2014/main" id="{00000000-0008-0000-0100-00000B000000}"/>
                </a:ext>
              </a:extLst>
            </xdr:cNvPr>
            <xdr:cNvGrpSpPr/>
          </xdr:nvGrpSpPr>
          <xdr:grpSpPr>
            <a:xfrm>
              <a:off x="2948136" y="4729731"/>
              <a:ext cx="4612363" cy="2213371"/>
              <a:chOff x="2555026" y="1974191"/>
              <a:chExt cx="2599278" cy="2122905"/>
            </a:xfrm>
          </xdr:grpSpPr>
          <xdr:sp macro="" textlink="">
            <xdr:nvSpPr>
              <xdr:cNvPr id="80" name="Rectangle: Rounded Corners 79">
                <a:extLst>
                  <a:ext uri="{FF2B5EF4-FFF2-40B4-BE49-F238E27FC236}">
                    <a16:creationId xmlns:a16="http://schemas.microsoft.com/office/drawing/2014/main" id="{00000000-0008-0000-0100-000050000000}"/>
                  </a:ext>
                </a:extLst>
              </xdr:cNvPr>
              <xdr:cNvSpPr/>
            </xdr:nvSpPr>
            <xdr:spPr>
              <a:xfrm>
                <a:off x="2579613" y="1974191"/>
                <a:ext cx="2574691" cy="2122905"/>
              </a:xfrm>
              <a:prstGeom prst="roundRect">
                <a:avLst>
                  <a:gd name="adj" fmla="val 3283"/>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81" name="Graphic 80" descr="Man and woman with solid fill">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2555026" y="2002577"/>
                <a:ext cx="414152" cy="291133"/>
              </a:xfrm>
              <a:prstGeom prst="rect">
                <a:avLst/>
              </a:prstGeom>
            </xdr:spPr>
          </xdr:pic>
        </xdr:grpSp>
        <xdr:sp macro="" textlink="">
          <xdr:nvSpPr>
            <xdr:cNvPr id="50" name="TextBox 49">
              <a:extLst>
                <a:ext uri="{FF2B5EF4-FFF2-40B4-BE49-F238E27FC236}">
                  <a16:creationId xmlns:a16="http://schemas.microsoft.com/office/drawing/2014/main" id="{00000000-0008-0000-0100-000032000000}"/>
                </a:ext>
              </a:extLst>
            </xdr:cNvPr>
            <xdr:cNvSpPr txBox="1"/>
          </xdr:nvSpPr>
          <xdr:spPr>
            <a:xfrm>
              <a:off x="3533592" y="4810504"/>
              <a:ext cx="3194689" cy="222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400" b="1" i="0" baseline="0">
                  <a:solidFill>
                    <a:schemeClr val="bg1"/>
                  </a:solidFill>
                  <a:effectLst/>
                  <a:latin typeface="+mn-lt"/>
                  <a:ea typeface="+mn-ea"/>
                  <a:cs typeface="+mn-cs"/>
                </a:rPr>
                <a:t>Dengue Prevalence by Age Group</a:t>
              </a:r>
              <a:endParaRPr lang="en-US" sz="1400" b="1">
                <a:solidFill>
                  <a:schemeClr val="bg1"/>
                </a:solidFill>
                <a:effectLst/>
              </a:endParaRPr>
            </a:p>
          </xdr:txBody>
        </xdr:sp>
      </xdr:grpSp>
      <xdr:grpSp>
        <xdr:nvGrpSpPr>
          <xdr:cNvPr id="91" name="Group 90">
            <a:extLst>
              <a:ext uri="{FF2B5EF4-FFF2-40B4-BE49-F238E27FC236}">
                <a16:creationId xmlns:a16="http://schemas.microsoft.com/office/drawing/2014/main" id="{00000000-0008-0000-0100-00005B000000}"/>
              </a:ext>
            </a:extLst>
          </xdr:cNvPr>
          <xdr:cNvGrpSpPr/>
        </xdr:nvGrpSpPr>
        <xdr:grpSpPr>
          <a:xfrm>
            <a:off x="107350" y="2226136"/>
            <a:ext cx="2120754" cy="894532"/>
            <a:chOff x="4441225" y="1159336"/>
            <a:chExt cx="2120754" cy="894532"/>
          </a:xfrm>
        </xdr:grpSpPr>
        <xdr:sp macro="" textlink="">
          <xdr:nvSpPr>
            <xdr:cNvPr id="92" name="Rectangle: Rounded Corners 91">
              <a:extLst>
                <a:ext uri="{FF2B5EF4-FFF2-40B4-BE49-F238E27FC236}">
                  <a16:creationId xmlns:a16="http://schemas.microsoft.com/office/drawing/2014/main" id="{00000000-0008-0000-0100-00005C000000}"/>
                </a:ext>
              </a:extLst>
            </xdr:cNvPr>
            <xdr:cNvSpPr/>
          </xdr:nvSpPr>
          <xdr:spPr>
            <a:xfrm>
              <a:off x="4441225" y="1216076"/>
              <a:ext cx="2120754" cy="837792"/>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93" name="Graphic 92" descr="Map with pin with solid fill">
              <a:extLst>
                <a:ext uri="{FF2B5EF4-FFF2-40B4-BE49-F238E27FC236}">
                  <a16:creationId xmlns:a16="http://schemas.microsoft.com/office/drawing/2014/main" id="{00000000-0008-0000-0100-00005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4476793" y="1159336"/>
              <a:ext cx="477118" cy="429609"/>
            </a:xfrm>
            <a:prstGeom prst="rect">
              <a:avLst/>
            </a:prstGeom>
          </xdr:spPr>
        </xdr:pic>
      </xdr:grpSp>
      <xdr:graphicFrame macro="">
        <xdr:nvGraphicFramePr>
          <xdr:cNvPr id="102" name="AllAreaC">
            <a:extLst>
              <a:ext uri="{FF2B5EF4-FFF2-40B4-BE49-F238E27FC236}">
                <a16:creationId xmlns:a16="http://schemas.microsoft.com/office/drawing/2014/main" id="{00000000-0008-0000-0100-000066000000}"/>
              </a:ext>
            </a:extLst>
          </xdr:cNvPr>
          <xdr:cNvGraphicFramePr>
            <a:graphicFrameLocks/>
          </xdr:cNvGraphicFramePr>
        </xdr:nvGraphicFramePr>
        <xdr:xfrm>
          <a:off x="719136" y="3790950"/>
          <a:ext cx="3252789" cy="3086100"/>
        </xdr:xfrm>
        <a:graphic>
          <a:graphicData uri="http://schemas.openxmlformats.org/drawingml/2006/chart">
            <c:chart xmlns:c="http://schemas.openxmlformats.org/drawingml/2006/chart" xmlns:r="http://schemas.openxmlformats.org/officeDocument/2006/relationships" r:id="rId13"/>
          </a:graphicData>
        </a:graphic>
      </xdr:graphicFrame>
      <xdr:grpSp>
        <xdr:nvGrpSpPr>
          <xdr:cNvPr id="23" name="Group 22">
            <a:extLst>
              <a:ext uri="{FF2B5EF4-FFF2-40B4-BE49-F238E27FC236}">
                <a16:creationId xmlns:a16="http://schemas.microsoft.com/office/drawing/2014/main" id="{00000000-0008-0000-0100-000017000000}"/>
              </a:ext>
            </a:extLst>
          </xdr:cNvPr>
          <xdr:cNvGrpSpPr/>
        </xdr:nvGrpSpPr>
        <xdr:grpSpPr>
          <a:xfrm>
            <a:off x="5562601" y="1209676"/>
            <a:ext cx="2571749" cy="1924047"/>
            <a:chOff x="10563226" y="742951"/>
            <a:chExt cx="2571749" cy="1924047"/>
          </a:xfrm>
        </xdr:grpSpPr>
        <xdr:sp macro="" textlink="">
          <xdr:nvSpPr>
            <xdr:cNvPr id="84" name="Rectangle: Rounded Corners 83">
              <a:extLst>
                <a:ext uri="{FF2B5EF4-FFF2-40B4-BE49-F238E27FC236}">
                  <a16:creationId xmlns:a16="http://schemas.microsoft.com/office/drawing/2014/main" id="{00000000-0008-0000-0100-000054000000}"/>
                </a:ext>
              </a:extLst>
            </xdr:cNvPr>
            <xdr:cNvSpPr/>
          </xdr:nvSpPr>
          <xdr:spPr>
            <a:xfrm>
              <a:off x="10572750" y="786159"/>
              <a:ext cx="2476500" cy="1880839"/>
            </a:xfrm>
            <a:prstGeom prst="roundRect">
              <a:avLst>
                <a:gd name="adj" fmla="val 2052"/>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85" name="Graphic 84" descr="Presentation with pie chart with solid fill">
              <a:extLst>
                <a:ext uri="{FF2B5EF4-FFF2-40B4-BE49-F238E27FC236}">
                  <a16:creationId xmlns:a16="http://schemas.microsoft.com/office/drawing/2014/main" id="{00000000-0008-0000-0100-000055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0563226" y="782608"/>
              <a:ext cx="228956" cy="282259"/>
            </a:xfrm>
            <a:prstGeom prst="rect">
              <a:avLst/>
            </a:prstGeom>
          </xdr:spPr>
        </xdr:pic>
        <xdr:sp macro="" textlink="">
          <xdr:nvSpPr>
            <xdr:cNvPr id="48" name="TextBox 47">
              <a:extLst>
                <a:ext uri="{FF2B5EF4-FFF2-40B4-BE49-F238E27FC236}">
                  <a16:creationId xmlns:a16="http://schemas.microsoft.com/office/drawing/2014/main" id="{00000000-0008-0000-0100-000030000000}"/>
                </a:ext>
              </a:extLst>
            </xdr:cNvPr>
            <xdr:cNvSpPr txBox="1"/>
          </xdr:nvSpPr>
          <xdr:spPr>
            <a:xfrm>
              <a:off x="10696575" y="742951"/>
              <a:ext cx="2438400" cy="371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eaLnBrk="1" fontAlgn="auto" latinLnBrk="0" hangingPunct="1"/>
              <a:r>
                <a:rPr lang="en-US" sz="1400" b="1" i="0" baseline="0">
                  <a:solidFill>
                    <a:schemeClr val="bg1"/>
                  </a:solidFill>
                  <a:effectLst/>
                  <a:latin typeface="+mn-lt"/>
                  <a:ea typeface="+mn-ea"/>
                  <a:cs typeface="+mn-cs"/>
                </a:rPr>
                <a:t>Dengue Patients by Area Type</a:t>
              </a:r>
              <a:endParaRPr lang="en-US" sz="1800" b="1">
                <a:solidFill>
                  <a:schemeClr val="bg1"/>
                </a:solidFill>
                <a:effectLst/>
              </a:endParaRPr>
            </a:p>
          </xdr:txBody>
        </xdr:sp>
        <xdr:graphicFrame macro="">
          <xdr:nvGraphicFramePr>
            <xdr:cNvPr id="106" name="Chart 105">
              <a:extLst>
                <a:ext uri="{FF2B5EF4-FFF2-40B4-BE49-F238E27FC236}">
                  <a16:creationId xmlns:a16="http://schemas.microsoft.com/office/drawing/2014/main" id="{00000000-0008-0000-0100-00006A000000}"/>
                </a:ext>
              </a:extLst>
            </xdr:cNvPr>
            <xdr:cNvGraphicFramePr>
              <a:graphicFrameLocks/>
            </xdr:cNvGraphicFramePr>
          </xdr:nvGraphicFramePr>
          <xdr:xfrm>
            <a:off x="10601325" y="1057275"/>
            <a:ext cx="2390776" cy="1533526"/>
          </xdr:xfrm>
          <a:graphic>
            <a:graphicData uri="http://schemas.openxmlformats.org/drawingml/2006/chart">
              <c:chart xmlns:c="http://schemas.openxmlformats.org/drawingml/2006/chart" xmlns:r="http://schemas.openxmlformats.org/officeDocument/2006/relationships" r:id="rId16"/>
            </a:graphicData>
          </a:graphic>
        </xdr:graphicFrame>
      </xdr:grpSp>
      <xdr:graphicFrame macro="">
        <xdr:nvGraphicFramePr>
          <xdr:cNvPr id="107" name="Chart 106">
            <a:extLst>
              <a:ext uri="{FF2B5EF4-FFF2-40B4-BE49-F238E27FC236}">
                <a16:creationId xmlns:a16="http://schemas.microsoft.com/office/drawing/2014/main" id="{00000000-0008-0000-0100-00006B000000}"/>
              </a:ext>
            </a:extLst>
          </xdr:cNvPr>
          <xdr:cNvGraphicFramePr>
            <a:graphicFrameLocks/>
          </xdr:cNvGraphicFramePr>
        </xdr:nvGraphicFramePr>
        <xdr:xfrm>
          <a:off x="4181476" y="3695700"/>
          <a:ext cx="3848100" cy="3086100"/>
        </xdr:xfrm>
        <a:graphic>
          <a:graphicData uri="http://schemas.openxmlformats.org/drawingml/2006/chart">
            <c:chart xmlns:c="http://schemas.openxmlformats.org/drawingml/2006/chart" xmlns:r="http://schemas.openxmlformats.org/officeDocument/2006/relationships" r:id="rId17"/>
          </a:graphicData>
        </a:graphic>
      </xdr:graphicFrame>
      <xdr:sp macro="" textlink="'Tables and Graph&amp;Charts'!AU44">
        <xdr:nvSpPr>
          <xdr:cNvPr id="110" name="TextBox 109">
            <a:extLst>
              <a:ext uri="{FF2B5EF4-FFF2-40B4-BE49-F238E27FC236}">
                <a16:creationId xmlns:a16="http://schemas.microsoft.com/office/drawing/2014/main" id="{00000000-0008-0000-0100-00006E000000}"/>
              </a:ext>
            </a:extLst>
          </xdr:cNvPr>
          <xdr:cNvSpPr txBox="1"/>
        </xdr:nvSpPr>
        <xdr:spPr>
          <a:xfrm>
            <a:off x="1552575" y="2769061"/>
            <a:ext cx="592547" cy="3177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E75EDD5-248A-45AE-9CAA-6A19051EE8B1}" type="TxLink">
              <a:rPr lang="en-US" sz="2000" b="1" i="0" u="none" strike="noStrike">
                <a:solidFill>
                  <a:schemeClr val="bg1"/>
                </a:solidFill>
                <a:latin typeface="Calibri"/>
                <a:ea typeface="Calibri"/>
                <a:cs typeface="Calibri"/>
              </a:rPr>
              <a:pPr algn="ctr"/>
              <a:t>519</a:t>
            </a:fld>
            <a:endParaRPr lang="en-US" sz="4800" b="1">
              <a:solidFill>
                <a:schemeClr val="bg1"/>
              </a:solidFill>
            </a:endParaRPr>
          </a:p>
        </xdr:txBody>
      </xdr:sp>
      <xdr:sp macro="" textlink="'Tables and Graph&amp;Charts'!P6:P7">
        <xdr:nvSpPr>
          <xdr:cNvPr id="111" name="TextBox 110">
            <a:extLst>
              <a:ext uri="{FF2B5EF4-FFF2-40B4-BE49-F238E27FC236}">
                <a16:creationId xmlns:a16="http://schemas.microsoft.com/office/drawing/2014/main" id="{00000000-0008-0000-0100-00006F000000}"/>
              </a:ext>
            </a:extLst>
          </xdr:cNvPr>
          <xdr:cNvSpPr txBox="1"/>
        </xdr:nvSpPr>
        <xdr:spPr>
          <a:xfrm>
            <a:off x="554818" y="2266949"/>
            <a:ext cx="1702607" cy="485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No. Of Maximum Patients with Risk Type</a:t>
            </a:r>
          </a:p>
        </xdr:txBody>
      </xdr:sp>
      <xdr:sp macro="" textlink="'Tables and Graph&amp;Charts'!P6:P7">
        <xdr:nvSpPr>
          <xdr:cNvPr id="112" name="TextBox 111">
            <a:extLst>
              <a:ext uri="{FF2B5EF4-FFF2-40B4-BE49-F238E27FC236}">
                <a16:creationId xmlns:a16="http://schemas.microsoft.com/office/drawing/2014/main" id="{00000000-0008-0000-0100-000070000000}"/>
              </a:ext>
            </a:extLst>
          </xdr:cNvPr>
          <xdr:cNvSpPr txBox="1"/>
        </xdr:nvSpPr>
        <xdr:spPr>
          <a:xfrm>
            <a:off x="469093" y="1295400"/>
            <a:ext cx="1759757"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Average</a:t>
            </a:r>
            <a:r>
              <a:rPr lang="en-US" sz="1100" b="1" baseline="0">
                <a:solidFill>
                  <a:schemeClr val="bg1"/>
                </a:solidFill>
              </a:rPr>
              <a:t> Age of Affected People</a:t>
            </a:r>
            <a:endParaRPr lang="en-US" sz="1100" b="1">
              <a:solidFill>
                <a:schemeClr val="bg1"/>
              </a:solidFill>
            </a:endParaRPr>
          </a:p>
        </xdr:txBody>
      </xdr:sp>
      <mc:AlternateContent xmlns:mc="http://schemas.openxmlformats.org/markup-compatibility/2006">
        <mc:Choice xmlns:a14="http://schemas.microsoft.com/office/drawing/2010/main" Requires="a14">
          <xdr:sp macro="" textlink="">
            <xdr:nvSpPr>
              <xdr:cNvPr id="4101" name="Scroll Bar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241935" y="3714751"/>
                <a:ext cx="464820" cy="3038474"/>
              </a:xfrm>
              <a:prstGeom prst="rect">
                <a:avLst/>
              </a:prstGeom>
              <a:noFill/>
              <a:ln w="9525">
                <a:miter lim="800000"/>
                <a:headEnd/>
                <a:tailEnd/>
              </a:ln>
            </xdr:spPr>
          </xdr:sp>
        </mc:Choice>
        <mc:Fallback/>
      </mc:AlternateContent>
      <xdr:grpSp>
        <xdr:nvGrpSpPr>
          <xdr:cNvPr id="25" name="Group 24">
            <a:extLst>
              <a:ext uri="{FF2B5EF4-FFF2-40B4-BE49-F238E27FC236}">
                <a16:creationId xmlns:a16="http://schemas.microsoft.com/office/drawing/2014/main" id="{00000000-0008-0000-0100-000019000000}"/>
              </a:ext>
            </a:extLst>
          </xdr:cNvPr>
          <xdr:cNvGrpSpPr/>
        </xdr:nvGrpSpPr>
        <xdr:grpSpPr>
          <a:xfrm>
            <a:off x="2244778" y="1200149"/>
            <a:ext cx="3270199" cy="1933577"/>
            <a:chOff x="4807518" y="1209674"/>
            <a:chExt cx="3194148" cy="1933577"/>
          </a:xfrm>
        </xdr:grpSpPr>
        <xdr:sp macro="" textlink="">
          <xdr:nvSpPr>
            <xdr:cNvPr id="82" name="Rectangle: Rounded Corners 81">
              <a:extLst>
                <a:ext uri="{FF2B5EF4-FFF2-40B4-BE49-F238E27FC236}">
                  <a16:creationId xmlns:a16="http://schemas.microsoft.com/office/drawing/2014/main" id="{00000000-0008-0000-0100-000052000000}"/>
                </a:ext>
              </a:extLst>
            </xdr:cNvPr>
            <xdr:cNvSpPr/>
          </xdr:nvSpPr>
          <xdr:spPr>
            <a:xfrm>
              <a:off x="4807518" y="1236577"/>
              <a:ext cx="3194148" cy="1906674"/>
            </a:xfrm>
            <a:prstGeom prst="roundRect">
              <a:avLst>
                <a:gd name="adj" fmla="val 3283"/>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83" name="Graphic 82" descr="City with solid fill">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829171" y="1209674"/>
              <a:ext cx="396560" cy="371223"/>
            </a:xfrm>
            <a:prstGeom prst="rect">
              <a:avLst/>
            </a:prstGeom>
          </xdr:spPr>
        </xdr:pic>
        <xdr:sp macro="" textlink="">
          <xdr:nvSpPr>
            <xdr:cNvPr id="46" name="TextBox 45">
              <a:extLst>
                <a:ext uri="{FF2B5EF4-FFF2-40B4-BE49-F238E27FC236}">
                  <a16:creationId xmlns:a16="http://schemas.microsoft.com/office/drawing/2014/main" id="{00000000-0008-0000-0100-00002E000000}"/>
                </a:ext>
              </a:extLst>
            </xdr:cNvPr>
            <xdr:cNvSpPr txBox="1"/>
          </xdr:nvSpPr>
          <xdr:spPr>
            <a:xfrm>
              <a:off x="5249288" y="1226735"/>
              <a:ext cx="2748221" cy="279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400" b="1" i="0" baseline="0">
                  <a:solidFill>
                    <a:schemeClr val="bg1"/>
                  </a:solidFill>
                  <a:effectLst/>
                  <a:latin typeface="+mn-lt"/>
                  <a:ea typeface="+mn-ea"/>
                  <a:cs typeface="+mn-cs"/>
                </a:rPr>
                <a:t>Total Patients by Risk Type</a:t>
              </a:r>
            </a:p>
          </xdr:txBody>
        </xdr:sp>
        <xdr:graphicFrame macro="">
          <xdr:nvGraphicFramePr>
            <xdr:cNvPr id="61" name="Chart 60">
              <a:extLst>
                <a:ext uri="{FF2B5EF4-FFF2-40B4-BE49-F238E27FC236}">
                  <a16:creationId xmlns:a16="http://schemas.microsoft.com/office/drawing/2014/main" id="{00000000-0008-0000-0100-00003D000000}"/>
                </a:ext>
              </a:extLst>
            </xdr:cNvPr>
            <xdr:cNvGraphicFramePr>
              <a:graphicFrameLocks/>
            </xdr:cNvGraphicFramePr>
          </xdr:nvGraphicFramePr>
          <xdr:xfrm>
            <a:off x="4839143" y="1504950"/>
            <a:ext cx="2933700" cy="1562100"/>
          </xdr:xfrm>
          <a:graphic>
            <a:graphicData uri="http://schemas.openxmlformats.org/drawingml/2006/chart">
              <c:chart xmlns:c="http://schemas.openxmlformats.org/drawingml/2006/chart" xmlns:r="http://schemas.openxmlformats.org/officeDocument/2006/relationships" r:id="rId20"/>
            </a:graphicData>
          </a:graphic>
        </xdr:graphicFrame>
      </xdr:grpSp>
      <xdr:sp macro="" textlink="'Tables and Graph&amp;Charts'!AT44">
        <xdr:nvSpPr>
          <xdr:cNvPr id="64" name="TextBox 63">
            <a:extLst>
              <a:ext uri="{FF2B5EF4-FFF2-40B4-BE49-F238E27FC236}">
                <a16:creationId xmlns:a16="http://schemas.microsoft.com/office/drawing/2014/main" id="{00000000-0008-0000-0100-000040000000}"/>
              </a:ext>
            </a:extLst>
          </xdr:cNvPr>
          <xdr:cNvSpPr txBox="1"/>
        </xdr:nvSpPr>
        <xdr:spPr>
          <a:xfrm>
            <a:off x="95250" y="2752725"/>
            <a:ext cx="1466851" cy="3177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C07AA4-2B45-414F-88EF-2E1594D27F4D}" type="TxLink">
              <a:rPr lang="en-US" sz="1400" b="1" i="0" u="none" strike="noStrike">
                <a:solidFill>
                  <a:schemeClr val="bg1"/>
                </a:solidFill>
                <a:latin typeface="Calibri"/>
                <a:ea typeface="Calibri"/>
                <a:cs typeface="Calibri"/>
              </a:rPr>
              <a:pPr algn="ctr"/>
              <a:t>High Risk</a:t>
            </a:fld>
            <a:endParaRPr lang="en-US" sz="6000" b="1">
              <a:solidFill>
                <a:schemeClr val="bg1"/>
              </a:solidFill>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26</xdr:col>
      <xdr:colOff>605117</xdr:colOff>
      <xdr:row>11</xdr:row>
      <xdr:rowOff>98613</xdr:rowOff>
    </xdr:from>
    <xdr:to>
      <xdr:col>31</xdr:col>
      <xdr:colOff>17930</xdr:colOff>
      <xdr:row>26</xdr:row>
      <xdr:rowOff>152401</xdr:rowOff>
    </xdr:to>
    <xdr:graphicFrame macro="">
      <xdr:nvGraphicFramePr>
        <xdr:cNvPr id="18" name="TestPositivityRate">
          <a:extLst>
            <a:ext uri="{FF2B5EF4-FFF2-40B4-BE49-F238E27FC236}">
              <a16:creationId xmlns:a16="http://schemas.microsoft.com/office/drawing/2014/main" id="{00000000-0008-0000-02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201706</xdr:colOff>
      <xdr:row>0</xdr:row>
      <xdr:rowOff>26894</xdr:rowOff>
    </xdr:from>
    <xdr:to>
      <xdr:col>9</xdr:col>
      <xdr:colOff>1246093</xdr:colOff>
      <xdr:row>11</xdr:row>
      <xdr:rowOff>98612</xdr:rowOff>
    </xdr:to>
    <xdr:graphicFrame macro="">
      <xdr:nvGraphicFramePr>
        <xdr:cNvPr id="23" name="GenderC">
          <a:extLst>
            <a:ext uri="{FF2B5EF4-FFF2-40B4-BE49-F238E27FC236}">
              <a16:creationId xmlns:a16="http://schemas.microsoft.com/office/drawing/2014/main" id="{00000000-0008-0000-02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1231527</xdr:colOff>
      <xdr:row>6</xdr:row>
      <xdr:rowOff>73399</xdr:rowOff>
    </xdr:from>
    <xdr:to>
      <xdr:col>4</xdr:col>
      <xdr:colOff>16810</xdr:colOff>
      <xdr:row>21</xdr:row>
      <xdr:rowOff>127187</xdr:rowOff>
    </xdr:to>
    <xdr:graphicFrame macro="">
      <xdr:nvGraphicFramePr>
        <xdr:cNvPr id="24" name="Top10AreaC">
          <a:extLst>
            <a:ext uri="{FF2B5EF4-FFF2-40B4-BE49-F238E27FC236}">
              <a16:creationId xmlns:a16="http://schemas.microsoft.com/office/drawing/2014/main" id="{00000000-0008-0000-02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192741</xdr:colOff>
      <xdr:row>12</xdr:row>
      <xdr:rowOff>26895</xdr:rowOff>
    </xdr:from>
    <xdr:to>
      <xdr:col>11</xdr:col>
      <xdr:colOff>327212</xdr:colOff>
      <xdr:row>27</xdr:row>
      <xdr:rowOff>80683</xdr:rowOff>
    </xdr:to>
    <xdr:graphicFrame macro="">
      <xdr:nvGraphicFramePr>
        <xdr:cNvPr id="27" name="HouseType and AreaTypeC">
          <a:extLst>
            <a:ext uri="{FF2B5EF4-FFF2-40B4-BE49-F238E27FC236}">
              <a16:creationId xmlns:a16="http://schemas.microsoft.com/office/drawing/2014/main" id="{00000000-0008-0000-02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247650</xdr:colOff>
      <xdr:row>27</xdr:row>
      <xdr:rowOff>144556</xdr:rowOff>
    </xdr:from>
    <xdr:to>
      <xdr:col>11</xdr:col>
      <xdr:colOff>382121</xdr:colOff>
      <xdr:row>42</xdr:row>
      <xdr:rowOff>153521</xdr:rowOff>
    </xdr:to>
    <xdr:graphicFrame macro="">
      <xdr:nvGraphicFramePr>
        <xdr:cNvPr id="28" name="AgeGroup&amp;GenderC">
          <a:extLst>
            <a:ext uri="{FF2B5EF4-FFF2-40B4-BE49-F238E27FC236}">
              <a16:creationId xmlns:a16="http://schemas.microsoft.com/office/drawing/2014/main" id="{00000000-0008-0000-02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31</xdr:col>
      <xdr:colOff>62864</xdr:colOff>
      <xdr:row>13</xdr:row>
      <xdr:rowOff>154305</xdr:rowOff>
    </xdr:from>
    <xdr:to>
      <xdr:col>32</xdr:col>
      <xdr:colOff>857250</xdr:colOff>
      <xdr:row>17</xdr:row>
      <xdr:rowOff>47625</xdr:rowOff>
    </xdr:to>
    <mc:AlternateContent xmlns:mc="http://schemas.openxmlformats.org/markup-compatibility/2006" xmlns:a14="http://schemas.microsoft.com/office/drawing/2010/main">
      <mc:Choice Requires="a14">
        <xdr:graphicFrame macro="">
          <xdr:nvGraphicFramePr>
            <xdr:cNvPr id="44" name="HouseType">
              <a:extLst>
                <a:ext uri="{FF2B5EF4-FFF2-40B4-BE49-F238E27FC236}">
                  <a16:creationId xmlns:a16="http://schemas.microsoft.com/office/drawing/2014/main" id="{00000000-0008-0000-0200-00002C000000}"/>
                </a:ext>
              </a:extLst>
            </xdr:cNvPr>
            <xdr:cNvGraphicFramePr/>
          </xdr:nvGraphicFramePr>
          <xdr:xfrm>
            <a:off x="0" y="0"/>
            <a:ext cx="0" cy="0"/>
          </xdr:xfrm>
          <a:graphic>
            <a:graphicData uri="http://schemas.microsoft.com/office/drawing/2010/slicer">
              <sle:slicer xmlns:sle="http://schemas.microsoft.com/office/drawing/2010/slicer" name="HouseType"/>
            </a:graphicData>
          </a:graphic>
        </xdr:graphicFrame>
      </mc:Choice>
      <mc:Fallback xmlns="">
        <xdr:sp macro="" textlink="">
          <xdr:nvSpPr>
            <xdr:cNvPr id="0" name=""/>
            <xdr:cNvSpPr>
              <a:spLocks noTextEdit="1"/>
            </xdr:cNvSpPr>
          </xdr:nvSpPr>
          <xdr:spPr>
            <a:xfrm>
              <a:off x="30723839" y="2506980"/>
              <a:ext cx="2413636" cy="626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31</xdr:col>
      <xdr:colOff>72389</xdr:colOff>
      <xdr:row>8</xdr:row>
      <xdr:rowOff>135255</xdr:rowOff>
    </xdr:from>
    <xdr:to>
      <xdr:col>32</xdr:col>
      <xdr:colOff>695324</xdr:colOff>
      <xdr:row>12</xdr:row>
      <xdr:rowOff>9525</xdr:rowOff>
    </xdr:to>
    <mc:AlternateContent xmlns:mc="http://schemas.openxmlformats.org/markup-compatibility/2006" xmlns:a14="http://schemas.microsoft.com/office/drawing/2010/main">
      <mc:Choice Requires="a14">
        <xdr:graphicFrame macro="">
          <xdr:nvGraphicFramePr>
            <xdr:cNvPr id="45" name="AreaType">
              <a:extLst>
                <a:ext uri="{FF2B5EF4-FFF2-40B4-BE49-F238E27FC236}">
                  <a16:creationId xmlns:a16="http://schemas.microsoft.com/office/drawing/2014/main" id="{00000000-0008-0000-0200-00002D000000}"/>
                </a:ext>
              </a:extLst>
            </xdr:cNvPr>
            <xdr:cNvGraphicFramePr/>
          </xdr:nvGraphicFramePr>
          <xdr:xfrm>
            <a:off x="0" y="0"/>
            <a:ext cx="0" cy="0"/>
          </xdr:xfrm>
          <a:graphic>
            <a:graphicData uri="http://schemas.microsoft.com/office/drawing/2010/slicer">
              <sle:slicer xmlns:sle="http://schemas.microsoft.com/office/drawing/2010/slicer" name="AreaType"/>
            </a:graphicData>
          </a:graphic>
        </xdr:graphicFrame>
      </mc:Choice>
      <mc:Fallback xmlns="">
        <xdr:sp macro="" textlink="">
          <xdr:nvSpPr>
            <xdr:cNvPr id="0" name=""/>
            <xdr:cNvSpPr>
              <a:spLocks noTextEdit="1"/>
            </xdr:cNvSpPr>
          </xdr:nvSpPr>
          <xdr:spPr>
            <a:xfrm>
              <a:off x="30733364" y="1583055"/>
              <a:ext cx="2242185" cy="6172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31</xdr:col>
      <xdr:colOff>81914</xdr:colOff>
      <xdr:row>5</xdr:row>
      <xdr:rowOff>30481</xdr:rowOff>
    </xdr:from>
    <xdr:to>
      <xdr:col>31</xdr:col>
      <xdr:colOff>1581149</xdr:colOff>
      <xdr:row>8</xdr:row>
      <xdr:rowOff>66676</xdr:rowOff>
    </xdr:to>
    <mc:AlternateContent xmlns:mc="http://schemas.openxmlformats.org/markup-compatibility/2006" xmlns:a14="http://schemas.microsoft.com/office/drawing/2010/main">
      <mc:Choice Requires="a14">
        <xdr:graphicFrame macro="">
          <xdr:nvGraphicFramePr>
            <xdr:cNvPr id="46" name="Gender">
              <a:extLst>
                <a:ext uri="{FF2B5EF4-FFF2-40B4-BE49-F238E27FC236}">
                  <a16:creationId xmlns:a16="http://schemas.microsoft.com/office/drawing/2014/main" id="{00000000-0008-0000-0200-00002E000000}"/>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30742889" y="935356"/>
              <a:ext cx="1499235" cy="5791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0</xdr:colOff>
      <xdr:row>29</xdr:row>
      <xdr:rowOff>0</xdr:rowOff>
    </xdr:from>
    <xdr:to>
      <xdr:col>17</xdr:col>
      <xdr:colOff>606237</xdr:colOff>
      <xdr:row>40</xdr:row>
      <xdr:rowOff>43143</xdr:rowOff>
    </xdr:to>
    <xdr:graphicFrame macro="">
      <xdr:nvGraphicFramePr>
        <xdr:cNvPr id="48" name="GenderC">
          <a:extLst>
            <a:ext uri="{FF2B5EF4-FFF2-40B4-BE49-F238E27FC236}">
              <a16:creationId xmlns:a16="http://schemas.microsoft.com/office/drawing/2014/main" id="{00000000-0008-0000-02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0</xdr:colOff>
      <xdr:row>29</xdr:row>
      <xdr:rowOff>1</xdr:rowOff>
    </xdr:from>
    <xdr:to>
      <xdr:col>21</xdr:col>
      <xdr:colOff>1362075</xdr:colOff>
      <xdr:row>42</xdr:row>
      <xdr:rowOff>161926</xdr:rowOff>
    </xdr:to>
    <xdr:graphicFrame macro="">
      <xdr:nvGraphicFramePr>
        <xdr:cNvPr id="49" name="TestPositivityRate">
          <a:extLst>
            <a:ext uri="{FF2B5EF4-FFF2-40B4-BE49-F238E27FC236}">
              <a16:creationId xmlns:a16="http://schemas.microsoft.com/office/drawing/2014/main" id="{00000000-0008-0000-02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45</xdr:row>
      <xdr:rowOff>0</xdr:rowOff>
    </xdr:from>
    <xdr:to>
      <xdr:col>18</xdr:col>
      <xdr:colOff>147358</xdr:colOff>
      <xdr:row>58</xdr:row>
      <xdr:rowOff>161925</xdr:rowOff>
    </xdr:to>
    <xdr:graphicFrame macro="">
      <xdr:nvGraphicFramePr>
        <xdr:cNvPr id="50" name="Top10AreaC">
          <a:extLst>
            <a:ext uri="{FF2B5EF4-FFF2-40B4-BE49-F238E27FC236}">
              <a16:creationId xmlns:a16="http://schemas.microsoft.com/office/drawing/2014/main" id="{00000000-0008-0000-02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19</xdr:col>
      <xdr:colOff>0</xdr:colOff>
      <xdr:row>45</xdr:row>
      <xdr:rowOff>0</xdr:rowOff>
    </xdr:from>
    <xdr:to>
      <xdr:col>24</xdr:col>
      <xdr:colOff>305921</xdr:colOff>
      <xdr:row>60</xdr:row>
      <xdr:rowOff>28015</xdr:rowOff>
    </xdr:to>
    <xdr:graphicFrame macro="">
      <xdr:nvGraphicFramePr>
        <xdr:cNvPr id="51" name="AgeGroup&amp;GenderC">
          <a:extLst>
            <a:ext uri="{FF2B5EF4-FFF2-40B4-BE49-F238E27FC236}">
              <a16:creationId xmlns:a16="http://schemas.microsoft.com/office/drawing/2014/main" id="{00000000-0008-0000-02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27</xdr:col>
      <xdr:colOff>28575</xdr:colOff>
      <xdr:row>27</xdr:row>
      <xdr:rowOff>0</xdr:rowOff>
    </xdr:from>
    <xdr:to>
      <xdr:col>29</xdr:col>
      <xdr:colOff>860611</xdr:colOff>
      <xdr:row>37</xdr:row>
      <xdr:rowOff>114300</xdr:rowOff>
    </xdr:to>
    <xdr:graphicFrame macro="">
      <xdr:nvGraphicFramePr>
        <xdr:cNvPr id="54" name="HouseType and AreaTypeC">
          <a:extLst>
            <a:ext uri="{FF2B5EF4-FFF2-40B4-BE49-F238E27FC236}">
              <a16:creationId xmlns:a16="http://schemas.microsoft.com/office/drawing/2014/main" id="{00000000-0008-0000-02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29</xdr:col>
      <xdr:colOff>990600</xdr:colOff>
      <xdr:row>27</xdr:row>
      <xdr:rowOff>12887</xdr:rowOff>
    </xdr:from>
    <xdr:to>
      <xdr:col>32</xdr:col>
      <xdr:colOff>172569</xdr:colOff>
      <xdr:row>38</xdr:row>
      <xdr:rowOff>133350</xdr:rowOff>
    </xdr:to>
    <xdr:graphicFrame macro="">
      <xdr:nvGraphicFramePr>
        <xdr:cNvPr id="55" name="AgeGroup&amp;GenderC">
          <a:extLst>
            <a:ext uri="{FF2B5EF4-FFF2-40B4-BE49-F238E27FC236}">
              <a16:creationId xmlns:a16="http://schemas.microsoft.com/office/drawing/2014/main" id="{00000000-0008-0000-02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43</xdr:col>
      <xdr:colOff>661988</xdr:colOff>
      <xdr:row>16</xdr:row>
      <xdr:rowOff>157163</xdr:rowOff>
    </xdr:from>
    <xdr:to>
      <xdr:col>50</xdr:col>
      <xdr:colOff>290513</xdr:colOff>
      <xdr:row>32</xdr:row>
      <xdr:rowOff>4763</xdr:rowOff>
    </xdr:to>
    <xdr:graphicFrame macro="">
      <xdr:nvGraphicFramePr>
        <xdr:cNvPr id="4" name="AllAreaC">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43</xdr:col>
          <xdr:colOff>175260</xdr:colOff>
          <xdr:row>16</xdr:row>
          <xdr:rowOff>182880</xdr:rowOff>
        </xdr:from>
        <xdr:to>
          <xdr:col>43</xdr:col>
          <xdr:colOff>640080</xdr:colOff>
          <xdr:row>31</xdr:row>
          <xdr:rowOff>137160</xdr:rowOff>
        </xdr:to>
        <xdr:sp macro="" textlink="">
          <xdr:nvSpPr>
            <xdr:cNvPr id="1026" name="Scroll Bar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53</xdr:col>
      <xdr:colOff>347663</xdr:colOff>
      <xdr:row>0</xdr:row>
      <xdr:rowOff>176213</xdr:rowOff>
    </xdr:from>
    <xdr:to>
      <xdr:col>61</xdr:col>
      <xdr:colOff>42863</xdr:colOff>
      <xdr:row>16</xdr:row>
      <xdr:rowOff>23813</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53</xdr:col>
      <xdr:colOff>261938</xdr:colOff>
      <xdr:row>16</xdr:row>
      <xdr:rowOff>80963</xdr:rowOff>
    </xdr:from>
    <xdr:to>
      <xdr:col>60</xdr:col>
      <xdr:colOff>566738</xdr:colOff>
      <xdr:row>31</xdr:row>
      <xdr:rowOff>109538</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53</xdr:col>
      <xdr:colOff>223838</xdr:colOff>
      <xdr:row>31</xdr:row>
      <xdr:rowOff>71438</xdr:rowOff>
    </xdr:from>
    <xdr:to>
      <xdr:col>60</xdr:col>
      <xdr:colOff>528638</xdr:colOff>
      <xdr:row>46</xdr:row>
      <xdr:rowOff>100013</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33</xdr:col>
      <xdr:colOff>257175</xdr:colOff>
      <xdr:row>11</xdr:row>
      <xdr:rowOff>14288</xdr:rowOff>
    </xdr:from>
    <xdr:to>
      <xdr:col>37</xdr:col>
      <xdr:colOff>333375</xdr:colOff>
      <xdr:row>26</xdr:row>
      <xdr:rowOff>23813</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0.73463</cdr:x>
      <cdr:y>0.72127</cdr:y>
    </cdr:from>
    <cdr:to>
      <cdr:x>0.96614</cdr:x>
      <cdr:y>0.906</cdr:y>
    </cdr:to>
    <cdr:sp macro="" textlink="">
      <cdr:nvSpPr>
        <cdr:cNvPr id="2" name="TextBox 1">
          <a:extLst xmlns:a="http://schemas.openxmlformats.org/drawingml/2006/main">
            <a:ext uri="{FF2B5EF4-FFF2-40B4-BE49-F238E27FC236}">
              <a16:creationId xmlns:a16="http://schemas.microsoft.com/office/drawing/2014/main" id="{66FAF86C-B462-45DA-BF71-ABBAF8DB401D}"/>
            </a:ext>
          </a:extLst>
        </cdr:cNvPr>
        <cdr:cNvSpPr txBox="1"/>
      </cdr:nvSpPr>
      <cdr:spPr>
        <a:xfrm xmlns:a="http://schemas.openxmlformats.org/drawingml/2006/main">
          <a:off x="2236694" y="1487581"/>
          <a:ext cx="704850" cy="381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ehedi Hasan" refreshedDate="45691.02460636574" backgroundQuery="1" createdVersion="7" refreshedVersion="7" minRefreshableVersion="3" recordCount="0" supportSubquery="1" supportAdvancedDrill="1" xr:uid="{8D80E041-D9AC-4B00-B0FD-3DE707C90AB1}">
  <cacheSource type="external" connectionId="3"/>
  <cacheFields count="10">
    <cacheField name="[Measures].[NS1_Positivity_Rate]" caption="NS1_Positivity_Rate" numFmtId="0" hierarchy="11" level="32767"/>
    <cacheField name="[Measures].[IgM_Positivity_Rate]" caption="IgM_Positivity_Rate" numFmtId="0" hierarchy="13" level="32767"/>
    <cacheField name="[Measures].[Confirmed_NS1_Positives]" caption="Confirmed_NS1_Positives" numFmtId="0" hierarchy="16" level="32767"/>
    <cacheField name="[Measures].[Confirmed_IgG_Positives]" caption="Confirmed_IgG_Positives" numFmtId="0" hierarchy="17" level="32767"/>
    <cacheField name="[Measures].[Confirmed_IgM_Positives]" caption="Confirmed_IgM_Positives" numFmtId="0" hierarchy="18" level="32767"/>
    <cacheField name="[Measures].[NS1_Effectiveness]" caption="NS1_Effectiveness" numFmtId="0" hierarchy="19" level="32767"/>
    <cacheField name="[Measures].[IgG_Effectiveness]" caption="IgG_Effectiveness" numFmtId="0" hierarchy="20" level="32767"/>
    <cacheField name="[Measures].[IgM_Effectiveness]" caption="IgM_Effectiveness" numFmtId="0" hierarchy="21" level="32767"/>
    <cacheField name="[Measures].[IgG_Positivity_Rate]" caption="IgG_Positivity_Rate" numFmtId="0" hierarchy="12" level="32767"/>
    <cacheField name="[Dataset].[Gender].[Gender]" caption="Gender" numFmtId="0" level="1">
      <sharedItems containsSemiMixedTypes="0" containsNonDate="0" containsString="0"/>
    </cacheField>
  </cacheFields>
  <cacheHierarchies count="32">
    <cacheHierarchy uniqueName="[Dataset].[Gender]" caption="Gender" attribute="1" defaultMemberUniqueName="[Dataset].[Gender].[All]" allUniqueName="[Dataset].[Gender].[All]" dimensionUniqueName="[Dataset]" displayFolder="" count="2" memberValueDatatype="130" unbalanced="0">
      <fieldsUsage count="2">
        <fieldUsage x="-1"/>
        <fieldUsage x="9"/>
      </fieldsUsage>
    </cacheHierarchy>
    <cacheHierarchy uniqueName="[Dataset].[Age]" caption="Age" attribute="1" defaultMemberUniqueName="[Dataset].[Age].[All]" allUniqueName="[Dataset].[Age].[All]" dimensionUniqueName="[Dataset]" displayFolder="" count="0" memberValueDatatype="20" unbalanced="0"/>
    <cacheHierarchy uniqueName="[Dataset].[Age Group]" caption="Age Group" attribute="1" defaultMemberUniqueName="[Dataset].[Age Group].[All]" allUniqueName="[Dataset].[Age Group].[All]" dimensionUniqueName="[Dataset]" displayFolder="" count="0" memberValueDatatype="130" unbalanced="0"/>
    <cacheHierarchy uniqueName="[Dataset].[NS1]" caption="NS1" attribute="1" defaultMemberUniqueName="[Dataset].[NS1].[All]" allUniqueName="[Dataset].[NS1].[All]" dimensionUniqueName="[Dataset]" displayFolder="" count="0" memberValueDatatype="20" unbalanced="0"/>
    <cacheHierarchy uniqueName="[Dataset].[IgG]" caption="IgG" attribute="1" defaultMemberUniqueName="[Dataset].[IgG].[All]" allUniqueName="[Dataset].[IgG].[All]" dimensionUniqueName="[Dataset]" displayFolder="" count="0" memberValueDatatype="20" unbalanced="0"/>
    <cacheHierarchy uniqueName="[Dataset].[IgM]" caption="IgM" attribute="1" defaultMemberUniqueName="[Dataset].[IgM].[All]" allUniqueName="[Dataset].[IgM].[All]" dimensionUniqueName="[Dataset]" displayFolder="" count="0" memberValueDatatype="20" unbalanced="0"/>
    <cacheHierarchy uniqueName="[Dataset].[Risk Type]" caption="Risk Type" attribute="1" defaultMemberUniqueName="[Dataset].[Risk Type].[All]" allUniqueName="[Dataset].[Risk Type].[All]" dimensionUniqueName="[Dataset]" displayFolder="" count="0" memberValueDatatype="130" unbalanced="0"/>
    <cacheHierarchy uniqueName="[Dataset].[Area]" caption="Area" attribute="1" defaultMemberUniqueName="[Dataset].[Area].[All]" allUniqueName="[Dataset].[Area].[All]" dimensionUniqueName="[Dataset]" displayFolder="" count="0" memberValueDatatype="130" unbalanced="0"/>
    <cacheHierarchy uniqueName="[Dataset].[AreaType]" caption="AreaType" attribute="1" defaultMemberUniqueName="[Dataset].[AreaType].[All]" allUniqueName="[Dataset].[AreaType].[All]" dimensionUniqueName="[Dataset]" displayFolder="" count="2" memberValueDatatype="130" unbalanced="0"/>
    <cacheHierarchy uniqueName="[Dataset].[HouseType]" caption="HouseType" attribute="1" defaultMemberUniqueName="[Dataset].[HouseType].[All]" allUniqueName="[Dataset].[HouseType].[All]" dimensionUniqueName="[Dataset]" displayFolder="" count="2" memberValueDatatype="130" unbalanced="0"/>
    <cacheHierarchy uniqueName="[Dataset].[Outcome]" caption="Outcome" attribute="1" defaultMemberUniqueName="[Dataset].[Outcome].[All]" allUniqueName="[Dataset].[Outcome].[All]" dimensionUniqueName="[Dataset]" displayFolder="" count="0" memberValueDatatype="20" unbalanced="0"/>
    <cacheHierarchy uniqueName="[Measures].[NS1_Positivity_Rate]" caption="NS1_Positivity_Rate" measure="1" displayFolder="" measureGroup="Dataset" count="0" oneField="1">
      <fieldsUsage count="1">
        <fieldUsage x="0"/>
      </fieldsUsage>
    </cacheHierarchy>
    <cacheHierarchy uniqueName="[Measures].[IgG_Positivity_Rate]" caption="IgG_Positivity_Rate" measure="1" displayFolder="" measureGroup="Dataset" count="0" oneField="1">
      <fieldsUsage count="1">
        <fieldUsage x="8"/>
      </fieldsUsage>
    </cacheHierarchy>
    <cacheHierarchy uniqueName="[Measures].[IgM_Positivity_Rate]" caption="IgM_Positivity_Rate" measure="1" displayFolder="" measureGroup="Dataset" count="0" oneField="1">
      <fieldsUsage count="1">
        <fieldUsage x="1"/>
      </fieldsUsage>
    </cacheHierarchy>
    <cacheHierarchy uniqueName="[Measures].[Dengue Positivity Rate (%)]" caption="Dengue Positivity Rate (%)" measure="1" displayFolder="" measureGroup="Dataset" count="0"/>
    <cacheHierarchy uniqueName="[Measures].[Total_Dengue_Cases]" caption="Total_Dengue_Cases" measure="1" displayFolder="" measureGroup="Dataset" count="0"/>
    <cacheHierarchy uniqueName="[Measures].[Confirmed_NS1_Positives]" caption="Confirmed_NS1_Positives" measure="1" displayFolder="" measureGroup="Dataset" count="0" oneField="1">
      <fieldsUsage count="1">
        <fieldUsage x="2"/>
      </fieldsUsage>
    </cacheHierarchy>
    <cacheHierarchy uniqueName="[Measures].[Confirmed_IgG_Positives]" caption="Confirmed_IgG_Positives" measure="1" displayFolder="" measureGroup="Dataset" count="0" oneField="1">
      <fieldsUsage count="1">
        <fieldUsage x="3"/>
      </fieldsUsage>
    </cacheHierarchy>
    <cacheHierarchy uniqueName="[Measures].[Confirmed_IgM_Positives]" caption="Confirmed_IgM_Positives" measure="1" displayFolder="" measureGroup="Dataset" count="0" oneField="1">
      <fieldsUsage count="1">
        <fieldUsage x="4"/>
      </fieldsUsage>
    </cacheHierarchy>
    <cacheHierarchy uniqueName="[Measures].[NS1_Effectiveness]" caption="NS1_Effectiveness" measure="1" displayFolder="" measureGroup="Dataset" count="0" oneField="1">
      <fieldsUsage count="1">
        <fieldUsage x="5"/>
      </fieldsUsage>
    </cacheHierarchy>
    <cacheHierarchy uniqueName="[Measures].[IgG_Effectiveness]" caption="IgG_Effectiveness" measure="1" displayFolder="" measureGroup="Dataset" count="0" oneField="1">
      <fieldsUsage count="1">
        <fieldUsage x="6"/>
      </fieldsUsage>
    </cacheHierarchy>
    <cacheHierarchy uniqueName="[Measures].[IgM_Effectiveness]" caption="IgM_Effectiveness" measure="1" displayFolder="" measureGroup="Dataset" count="0" oneField="1">
      <fieldsUsage count="1">
        <fieldUsage x="7"/>
      </fieldsUsage>
    </cacheHierarchy>
    <cacheHierarchy uniqueName="[Measures].[__XL_Count Dataset]" caption="__XL_Count Dataset" measure="1" displayFolder="" measureGroup="Dataset" count="0" hidden="1"/>
    <cacheHierarchy uniqueName="[Measures].[__No measures defined]" caption="__No measures defined" measure="1" displayFolder="" count="0" hidden="1"/>
    <cacheHierarchy uniqueName="[Measures].[Sum of Outcome]" caption="Sum of Outcome" measure="1" displayFolder="" measureGroup="Dataset" count="0" hidden="1">
      <extLst>
        <ext xmlns:x15="http://schemas.microsoft.com/office/spreadsheetml/2010/11/main" uri="{B97F6D7D-B522-45F9-BDA1-12C45D357490}">
          <x15:cacheHierarchy aggregatedColumn="10"/>
        </ext>
      </extLst>
    </cacheHierarchy>
    <cacheHierarchy uniqueName="[Measures].[Count of Outcome]" caption="Count of Outcome" measure="1" displayFolder="" measureGroup="Dataset" count="0" hidden="1">
      <extLst>
        <ext xmlns:x15="http://schemas.microsoft.com/office/spreadsheetml/2010/11/main" uri="{B97F6D7D-B522-45F9-BDA1-12C45D357490}">
          <x15:cacheHierarchy aggregatedColumn="10"/>
        </ext>
      </extLst>
    </cacheHierarchy>
    <cacheHierarchy uniqueName="[Measures].[Average of Outcome]" caption="Average of Outcome" measure="1" displayFolder="" measureGroup="Dataset" count="0" hidden="1">
      <extLst>
        <ext xmlns:x15="http://schemas.microsoft.com/office/spreadsheetml/2010/11/main" uri="{B97F6D7D-B522-45F9-BDA1-12C45D357490}">
          <x15:cacheHierarchy aggregatedColumn="10"/>
        </ext>
      </extLst>
    </cacheHierarchy>
    <cacheHierarchy uniqueName="[Measures].[Sum of NS1]" caption="Sum of NS1" measure="1" displayFolder="" measureGroup="Dataset" count="0" hidden="1">
      <extLst>
        <ext xmlns:x15="http://schemas.microsoft.com/office/spreadsheetml/2010/11/main" uri="{B97F6D7D-B522-45F9-BDA1-12C45D357490}">
          <x15:cacheHierarchy aggregatedColumn="3"/>
        </ext>
      </extLst>
    </cacheHierarchy>
    <cacheHierarchy uniqueName="[Measures].[Sum of IgG]" caption="Sum of IgG" measure="1" displayFolder="" measureGroup="Dataset" count="0" hidden="1">
      <extLst>
        <ext xmlns:x15="http://schemas.microsoft.com/office/spreadsheetml/2010/11/main" uri="{B97F6D7D-B522-45F9-BDA1-12C45D357490}">
          <x15:cacheHierarchy aggregatedColumn="4"/>
        </ext>
      </extLst>
    </cacheHierarchy>
    <cacheHierarchy uniqueName="[Measures].[Sum of IgM]" caption="Sum of IgM" measure="1" displayFolder="" measureGroup="Dataset"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ataset" count="0" hidden="1">
      <extLst>
        <ext xmlns:x15="http://schemas.microsoft.com/office/spreadsheetml/2010/11/main" uri="{B97F6D7D-B522-45F9-BDA1-12C45D357490}">
          <x15:cacheHierarchy aggregatedColumn="1"/>
        </ext>
      </extLst>
    </cacheHierarchy>
    <cacheHierarchy uniqueName="[Measures].[Average of Age]" caption="Average of Age" measure="1" displayFolder="" measureGroup="Dataset" count="0" hidden="1">
      <extLst>
        <ext xmlns:x15="http://schemas.microsoft.com/office/spreadsheetml/2010/11/main" uri="{B97F6D7D-B522-45F9-BDA1-12C45D357490}">
          <x15:cacheHierarchy aggregatedColumn="1"/>
        </ext>
      </extLst>
    </cacheHierarchy>
  </cacheHierarchies>
  <kpis count="0"/>
  <dimensions count="2">
    <dimension name="Dataset" uniqueName="[Dataset]" caption="Dataset"/>
    <dimension measure="1" name="Measures" uniqueName="[Measures]" caption="Measures"/>
  </dimensions>
  <measureGroups count="1">
    <measureGroup name="Dataset" caption="Datase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ehedi Hasan" refreshedDate="45691.024606828702" backgroundQuery="1" createdVersion="7" refreshedVersion="7" minRefreshableVersion="3" recordCount="0" supportSubquery="1" supportAdvancedDrill="1" xr:uid="{B4587615-5319-4A4A-9528-809A5537585F}">
  <cacheSource type="external" connectionId="3"/>
  <cacheFields count="3">
    <cacheField name="[Dataset].[Age Group].[Age Group]" caption="Age Group" numFmtId="0" hierarchy="2" level="1">
      <sharedItems count="5">
        <s v="0-10"/>
        <s v="11-18"/>
        <s v="19-30"/>
        <s v="31-60"/>
        <s v="above 60"/>
      </sharedItems>
    </cacheField>
    <cacheField name="[Measures].[Sum of Outcome]" caption="Sum of Outcome" numFmtId="0" hierarchy="24" level="32767"/>
    <cacheField name="[Dataset].[Gender].[Gender]" caption="Gender" numFmtId="0" level="1">
      <sharedItems containsSemiMixedTypes="0" containsNonDate="0" containsString="0"/>
    </cacheField>
  </cacheFields>
  <cacheHierarchies count="32">
    <cacheHierarchy uniqueName="[Dataset].[Gender]" caption="Gender" attribute="1" defaultMemberUniqueName="[Dataset].[Gender].[All]" allUniqueName="[Dataset].[Gender].[All]" dimensionUniqueName="[Dataset]" displayFolder="" count="2" memberValueDatatype="130" unbalanced="0">
      <fieldsUsage count="2">
        <fieldUsage x="-1"/>
        <fieldUsage x="2"/>
      </fieldsUsage>
    </cacheHierarchy>
    <cacheHierarchy uniqueName="[Dataset].[Age]" caption="Age" attribute="1" defaultMemberUniqueName="[Dataset].[Age].[All]" allUniqueName="[Dataset].[Age].[All]" dimensionUniqueName="[Dataset]" displayFolder="" count="0" memberValueDatatype="20" unbalanced="0"/>
    <cacheHierarchy uniqueName="[Dataset].[Age Group]" caption="Age Group" attribute="1" defaultMemberUniqueName="[Dataset].[Age Group].[All]" allUniqueName="[Dataset].[Age Group].[All]" dimensionUniqueName="[Dataset]" displayFolder="" count="2" memberValueDatatype="130" unbalanced="0">
      <fieldsUsage count="2">
        <fieldUsage x="-1"/>
        <fieldUsage x="0"/>
      </fieldsUsage>
    </cacheHierarchy>
    <cacheHierarchy uniqueName="[Dataset].[NS1]" caption="NS1" attribute="1" defaultMemberUniqueName="[Dataset].[NS1].[All]" allUniqueName="[Dataset].[NS1].[All]" dimensionUniqueName="[Dataset]" displayFolder="" count="0" memberValueDatatype="20" unbalanced="0"/>
    <cacheHierarchy uniqueName="[Dataset].[IgG]" caption="IgG" attribute="1" defaultMemberUniqueName="[Dataset].[IgG].[All]" allUniqueName="[Dataset].[IgG].[All]" dimensionUniqueName="[Dataset]" displayFolder="" count="0" memberValueDatatype="20" unbalanced="0"/>
    <cacheHierarchy uniqueName="[Dataset].[IgM]" caption="IgM" attribute="1" defaultMemberUniqueName="[Dataset].[IgM].[All]" allUniqueName="[Dataset].[IgM].[All]" dimensionUniqueName="[Dataset]" displayFolder="" count="0" memberValueDatatype="20" unbalanced="0"/>
    <cacheHierarchy uniqueName="[Dataset].[Risk Type]" caption="Risk Type" attribute="1" defaultMemberUniqueName="[Dataset].[Risk Type].[All]" allUniqueName="[Dataset].[Risk Type].[All]" dimensionUniqueName="[Dataset]" displayFolder="" count="0" memberValueDatatype="130" unbalanced="0"/>
    <cacheHierarchy uniqueName="[Dataset].[Area]" caption="Area" attribute="1" defaultMemberUniqueName="[Dataset].[Area].[All]" allUniqueName="[Dataset].[Area].[All]" dimensionUniqueName="[Dataset]" displayFolder="" count="0" memberValueDatatype="130" unbalanced="0"/>
    <cacheHierarchy uniqueName="[Dataset].[AreaType]" caption="AreaType" attribute="1" defaultMemberUniqueName="[Dataset].[AreaType].[All]" allUniqueName="[Dataset].[AreaType].[All]" dimensionUniqueName="[Dataset]" displayFolder="" count="2" memberValueDatatype="130" unbalanced="0"/>
    <cacheHierarchy uniqueName="[Dataset].[HouseType]" caption="HouseType" attribute="1" defaultMemberUniqueName="[Dataset].[HouseType].[All]" allUniqueName="[Dataset].[HouseType].[All]" dimensionUniqueName="[Dataset]" displayFolder="" count="2" memberValueDatatype="130" unbalanced="0"/>
    <cacheHierarchy uniqueName="[Dataset].[Outcome]" caption="Outcome" attribute="1" defaultMemberUniqueName="[Dataset].[Outcome].[All]" allUniqueName="[Dataset].[Outcome].[All]" dimensionUniqueName="[Dataset]" displayFolder="" count="0" memberValueDatatype="20" unbalanced="0"/>
    <cacheHierarchy uniqueName="[Measures].[NS1_Positivity_Rate]" caption="NS1_Positivity_Rate" measure="1" displayFolder="" measureGroup="Dataset" count="0"/>
    <cacheHierarchy uniqueName="[Measures].[IgG_Positivity_Rate]" caption="IgG_Positivity_Rate" measure="1" displayFolder="" measureGroup="Dataset" count="0"/>
    <cacheHierarchy uniqueName="[Measures].[IgM_Positivity_Rate]" caption="IgM_Positivity_Rate" measure="1" displayFolder="" measureGroup="Dataset" count="0"/>
    <cacheHierarchy uniqueName="[Measures].[Dengue Positivity Rate (%)]" caption="Dengue Positivity Rate (%)" measure="1" displayFolder="" measureGroup="Dataset" count="0"/>
    <cacheHierarchy uniqueName="[Measures].[Total_Dengue_Cases]" caption="Total_Dengue_Cases" measure="1" displayFolder="" measureGroup="Dataset" count="0"/>
    <cacheHierarchy uniqueName="[Measures].[Confirmed_NS1_Positives]" caption="Confirmed_NS1_Positives" measure="1" displayFolder="" measureGroup="Dataset" count="0"/>
    <cacheHierarchy uniqueName="[Measures].[Confirmed_IgG_Positives]" caption="Confirmed_IgG_Positives" measure="1" displayFolder="" measureGroup="Dataset" count="0"/>
    <cacheHierarchy uniqueName="[Measures].[Confirmed_IgM_Positives]" caption="Confirmed_IgM_Positives" measure="1" displayFolder="" measureGroup="Dataset" count="0"/>
    <cacheHierarchy uniqueName="[Measures].[NS1_Effectiveness]" caption="NS1_Effectiveness" measure="1" displayFolder="" measureGroup="Dataset" count="0"/>
    <cacheHierarchy uniqueName="[Measures].[IgG_Effectiveness]" caption="IgG_Effectiveness" measure="1" displayFolder="" measureGroup="Dataset" count="0"/>
    <cacheHierarchy uniqueName="[Measures].[IgM_Effectiveness]" caption="IgM_Effectiveness" measure="1" displayFolder="" measureGroup="Dataset" count="0"/>
    <cacheHierarchy uniqueName="[Measures].[__XL_Count Dataset]" caption="__XL_Count Dataset" measure="1" displayFolder="" measureGroup="Dataset" count="0" hidden="1"/>
    <cacheHierarchy uniqueName="[Measures].[__No measures defined]" caption="__No measures defined" measure="1" displayFolder="" count="0" hidden="1"/>
    <cacheHierarchy uniqueName="[Measures].[Sum of Outcome]" caption="Sum of Outcome" measure="1" displayFolder="" measureGroup="Dataset" count="0" oneField="1" hidden="1">
      <fieldsUsage count="1">
        <fieldUsage x="1"/>
      </fieldsUsage>
      <extLst>
        <ext xmlns:x15="http://schemas.microsoft.com/office/spreadsheetml/2010/11/main" uri="{B97F6D7D-B522-45F9-BDA1-12C45D357490}">
          <x15:cacheHierarchy aggregatedColumn="10"/>
        </ext>
      </extLst>
    </cacheHierarchy>
    <cacheHierarchy uniqueName="[Measures].[Count of Outcome]" caption="Count of Outcome" measure="1" displayFolder="" measureGroup="Dataset" count="0" hidden="1">
      <extLst>
        <ext xmlns:x15="http://schemas.microsoft.com/office/spreadsheetml/2010/11/main" uri="{B97F6D7D-B522-45F9-BDA1-12C45D357490}">
          <x15:cacheHierarchy aggregatedColumn="10"/>
        </ext>
      </extLst>
    </cacheHierarchy>
    <cacheHierarchy uniqueName="[Measures].[Average of Outcome]" caption="Average of Outcome" measure="1" displayFolder="" measureGroup="Dataset" count="0" hidden="1">
      <extLst>
        <ext xmlns:x15="http://schemas.microsoft.com/office/spreadsheetml/2010/11/main" uri="{B97F6D7D-B522-45F9-BDA1-12C45D357490}">
          <x15:cacheHierarchy aggregatedColumn="10"/>
        </ext>
      </extLst>
    </cacheHierarchy>
    <cacheHierarchy uniqueName="[Measures].[Sum of NS1]" caption="Sum of NS1" measure="1" displayFolder="" measureGroup="Dataset" count="0" hidden="1">
      <extLst>
        <ext xmlns:x15="http://schemas.microsoft.com/office/spreadsheetml/2010/11/main" uri="{B97F6D7D-B522-45F9-BDA1-12C45D357490}">
          <x15:cacheHierarchy aggregatedColumn="3"/>
        </ext>
      </extLst>
    </cacheHierarchy>
    <cacheHierarchy uniqueName="[Measures].[Sum of IgG]" caption="Sum of IgG" measure="1" displayFolder="" measureGroup="Dataset" count="0" hidden="1">
      <extLst>
        <ext xmlns:x15="http://schemas.microsoft.com/office/spreadsheetml/2010/11/main" uri="{B97F6D7D-B522-45F9-BDA1-12C45D357490}">
          <x15:cacheHierarchy aggregatedColumn="4"/>
        </ext>
      </extLst>
    </cacheHierarchy>
    <cacheHierarchy uniqueName="[Measures].[Sum of IgM]" caption="Sum of IgM" measure="1" displayFolder="" measureGroup="Dataset"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ataset" count="0" hidden="1">
      <extLst>
        <ext xmlns:x15="http://schemas.microsoft.com/office/spreadsheetml/2010/11/main" uri="{B97F6D7D-B522-45F9-BDA1-12C45D357490}">
          <x15:cacheHierarchy aggregatedColumn="1"/>
        </ext>
      </extLst>
    </cacheHierarchy>
    <cacheHierarchy uniqueName="[Measures].[Average of Age]" caption="Average of Age" measure="1" displayFolder="" measureGroup="Dataset" count="0" hidden="1">
      <extLst>
        <ext xmlns:x15="http://schemas.microsoft.com/office/spreadsheetml/2010/11/main" uri="{B97F6D7D-B522-45F9-BDA1-12C45D357490}">
          <x15:cacheHierarchy aggregatedColumn="1"/>
        </ext>
      </extLst>
    </cacheHierarchy>
  </cacheHierarchies>
  <kpis count="0"/>
  <dimensions count="2">
    <dimension name="Dataset" uniqueName="[Dataset]" caption="Dataset"/>
    <dimension measure="1" name="Measures" uniqueName="[Measures]" caption="Measures"/>
  </dimensions>
  <measureGroups count="1">
    <measureGroup name="Dataset" caption="Datase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ehedi Hasan" refreshedDate="45691.024607175925" backgroundQuery="1" createdVersion="7" refreshedVersion="7" minRefreshableVersion="3" recordCount="0" supportSubquery="1" supportAdvancedDrill="1" xr:uid="{FCB9A6C3-51CF-4B55-9A31-F93769F63E7E}">
  <cacheSource type="external" connectionId="3"/>
  <cacheFields count="3">
    <cacheField name="[Dataset].[Area].[Area]" caption="Area" numFmtId="0" hierarchy="7" level="1">
      <sharedItems count="10">
        <s v="Badda"/>
        <s v="Bangshal"/>
        <s v="Demra"/>
        <s v="Dhanmondi"/>
        <s v="Jatrabari"/>
        <s v="Kadamtali"/>
        <s v="Kafrul"/>
        <s v="Mirpur"/>
        <s v="Mohammadpur"/>
        <s v="Tejgaon"/>
      </sharedItems>
    </cacheField>
    <cacheField name="[Measures].[Sum of Outcome]" caption="Sum of Outcome" numFmtId="0" hierarchy="24" level="32767"/>
    <cacheField name="[Dataset].[Gender].[Gender]" caption="Gender" numFmtId="0" level="1">
      <sharedItems containsSemiMixedTypes="0" containsNonDate="0" containsString="0"/>
    </cacheField>
  </cacheFields>
  <cacheHierarchies count="32">
    <cacheHierarchy uniqueName="[Dataset].[Gender]" caption="Gender" attribute="1" defaultMemberUniqueName="[Dataset].[Gender].[All]" allUniqueName="[Dataset].[Gender].[All]" dimensionUniqueName="[Dataset]" displayFolder="" count="2" memberValueDatatype="130" unbalanced="0">
      <fieldsUsage count="2">
        <fieldUsage x="-1"/>
        <fieldUsage x="2"/>
      </fieldsUsage>
    </cacheHierarchy>
    <cacheHierarchy uniqueName="[Dataset].[Age]" caption="Age" attribute="1" defaultMemberUniqueName="[Dataset].[Age].[All]" allUniqueName="[Dataset].[Age].[All]" dimensionUniqueName="[Dataset]" displayFolder="" count="0" memberValueDatatype="20" unbalanced="0"/>
    <cacheHierarchy uniqueName="[Dataset].[Age Group]" caption="Age Group" attribute="1" defaultMemberUniqueName="[Dataset].[Age Group].[All]" allUniqueName="[Dataset].[Age Group].[All]" dimensionUniqueName="[Dataset]" displayFolder="" count="0" memberValueDatatype="130" unbalanced="0"/>
    <cacheHierarchy uniqueName="[Dataset].[NS1]" caption="NS1" attribute="1" defaultMemberUniqueName="[Dataset].[NS1].[All]" allUniqueName="[Dataset].[NS1].[All]" dimensionUniqueName="[Dataset]" displayFolder="" count="0" memberValueDatatype="20" unbalanced="0"/>
    <cacheHierarchy uniqueName="[Dataset].[IgG]" caption="IgG" attribute="1" defaultMemberUniqueName="[Dataset].[IgG].[All]" allUniqueName="[Dataset].[IgG].[All]" dimensionUniqueName="[Dataset]" displayFolder="" count="0" memberValueDatatype="20" unbalanced="0"/>
    <cacheHierarchy uniqueName="[Dataset].[IgM]" caption="IgM" attribute="1" defaultMemberUniqueName="[Dataset].[IgM].[All]" allUniqueName="[Dataset].[IgM].[All]" dimensionUniqueName="[Dataset]" displayFolder="" count="0" memberValueDatatype="20" unbalanced="0"/>
    <cacheHierarchy uniqueName="[Dataset].[Risk Type]" caption="Risk Type" attribute="1" defaultMemberUniqueName="[Dataset].[Risk Type].[All]" allUniqueName="[Dataset].[Risk Type].[All]" dimensionUniqueName="[Dataset]" displayFolder="" count="0" memberValueDatatype="130" unbalanced="0"/>
    <cacheHierarchy uniqueName="[Dataset].[Area]" caption="Area" attribute="1" defaultMemberUniqueName="[Dataset].[Area].[All]" allUniqueName="[Dataset].[Area].[All]" dimensionUniqueName="[Dataset]" displayFolder="" count="2" memberValueDatatype="130" unbalanced="0">
      <fieldsUsage count="2">
        <fieldUsage x="-1"/>
        <fieldUsage x="0"/>
      </fieldsUsage>
    </cacheHierarchy>
    <cacheHierarchy uniqueName="[Dataset].[AreaType]" caption="AreaType" attribute="1" defaultMemberUniqueName="[Dataset].[AreaType].[All]" allUniqueName="[Dataset].[AreaType].[All]" dimensionUniqueName="[Dataset]" displayFolder="" count="2" memberValueDatatype="130" unbalanced="0"/>
    <cacheHierarchy uniqueName="[Dataset].[HouseType]" caption="HouseType" attribute="1" defaultMemberUniqueName="[Dataset].[HouseType].[All]" allUniqueName="[Dataset].[HouseType].[All]" dimensionUniqueName="[Dataset]" displayFolder="" count="2" memberValueDatatype="130" unbalanced="0"/>
    <cacheHierarchy uniqueName="[Dataset].[Outcome]" caption="Outcome" attribute="1" defaultMemberUniqueName="[Dataset].[Outcome].[All]" allUniqueName="[Dataset].[Outcome].[All]" dimensionUniqueName="[Dataset]" displayFolder="" count="0" memberValueDatatype="20" unbalanced="0"/>
    <cacheHierarchy uniqueName="[Measures].[NS1_Positivity_Rate]" caption="NS1_Positivity_Rate" measure="1" displayFolder="" measureGroup="Dataset" count="0"/>
    <cacheHierarchy uniqueName="[Measures].[IgG_Positivity_Rate]" caption="IgG_Positivity_Rate" measure="1" displayFolder="" measureGroup="Dataset" count="0"/>
    <cacheHierarchy uniqueName="[Measures].[IgM_Positivity_Rate]" caption="IgM_Positivity_Rate" measure="1" displayFolder="" measureGroup="Dataset" count="0"/>
    <cacheHierarchy uniqueName="[Measures].[Dengue Positivity Rate (%)]" caption="Dengue Positivity Rate (%)" measure="1" displayFolder="" measureGroup="Dataset" count="0"/>
    <cacheHierarchy uniqueName="[Measures].[Total_Dengue_Cases]" caption="Total_Dengue_Cases" measure="1" displayFolder="" measureGroup="Dataset" count="0"/>
    <cacheHierarchy uniqueName="[Measures].[Confirmed_NS1_Positives]" caption="Confirmed_NS1_Positives" measure="1" displayFolder="" measureGroup="Dataset" count="0"/>
    <cacheHierarchy uniqueName="[Measures].[Confirmed_IgG_Positives]" caption="Confirmed_IgG_Positives" measure="1" displayFolder="" measureGroup="Dataset" count="0"/>
    <cacheHierarchy uniqueName="[Measures].[Confirmed_IgM_Positives]" caption="Confirmed_IgM_Positives" measure="1" displayFolder="" measureGroup="Dataset" count="0"/>
    <cacheHierarchy uniqueName="[Measures].[NS1_Effectiveness]" caption="NS1_Effectiveness" measure="1" displayFolder="" measureGroup="Dataset" count="0"/>
    <cacheHierarchy uniqueName="[Measures].[IgG_Effectiveness]" caption="IgG_Effectiveness" measure="1" displayFolder="" measureGroup="Dataset" count="0"/>
    <cacheHierarchy uniqueName="[Measures].[IgM_Effectiveness]" caption="IgM_Effectiveness" measure="1" displayFolder="" measureGroup="Dataset" count="0"/>
    <cacheHierarchy uniqueName="[Measures].[__XL_Count Dataset]" caption="__XL_Count Dataset" measure="1" displayFolder="" measureGroup="Dataset" count="0" hidden="1"/>
    <cacheHierarchy uniqueName="[Measures].[__No measures defined]" caption="__No measures defined" measure="1" displayFolder="" count="0" hidden="1"/>
    <cacheHierarchy uniqueName="[Measures].[Sum of Outcome]" caption="Sum of Outcome" measure="1" displayFolder="" measureGroup="Dataset" count="0" oneField="1" hidden="1">
      <fieldsUsage count="1">
        <fieldUsage x="1"/>
      </fieldsUsage>
      <extLst>
        <ext xmlns:x15="http://schemas.microsoft.com/office/spreadsheetml/2010/11/main" uri="{B97F6D7D-B522-45F9-BDA1-12C45D357490}">
          <x15:cacheHierarchy aggregatedColumn="10"/>
        </ext>
      </extLst>
    </cacheHierarchy>
    <cacheHierarchy uniqueName="[Measures].[Count of Outcome]" caption="Count of Outcome" measure="1" displayFolder="" measureGroup="Dataset" count="0" hidden="1">
      <extLst>
        <ext xmlns:x15="http://schemas.microsoft.com/office/spreadsheetml/2010/11/main" uri="{B97F6D7D-B522-45F9-BDA1-12C45D357490}">
          <x15:cacheHierarchy aggregatedColumn="10"/>
        </ext>
      </extLst>
    </cacheHierarchy>
    <cacheHierarchy uniqueName="[Measures].[Average of Outcome]" caption="Average of Outcome" measure="1" displayFolder="" measureGroup="Dataset" count="0" hidden="1">
      <extLst>
        <ext xmlns:x15="http://schemas.microsoft.com/office/spreadsheetml/2010/11/main" uri="{B97F6D7D-B522-45F9-BDA1-12C45D357490}">
          <x15:cacheHierarchy aggregatedColumn="10"/>
        </ext>
      </extLst>
    </cacheHierarchy>
    <cacheHierarchy uniqueName="[Measures].[Sum of NS1]" caption="Sum of NS1" measure="1" displayFolder="" measureGroup="Dataset" count="0" hidden="1">
      <extLst>
        <ext xmlns:x15="http://schemas.microsoft.com/office/spreadsheetml/2010/11/main" uri="{B97F6D7D-B522-45F9-BDA1-12C45D357490}">
          <x15:cacheHierarchy aggregatedColumn="3"/>
        </ext>
      </extLst>
    </cacheHierarchy>
    <cacheHierarchy uniqueName="[Measures].[Sum of IgG]" caption="Sum of IgG" measure="1" displayFolder="" measureGroup="Dataset" count="0" hidden="1">
      <extLst>
        <ext xmlns:x15="http://schemas.microsoft.com/office/spreadsheetml/2010/11/main" uri="{B97F6D7D-B522-45F9-BDA1-12C45D357490}">
          <x15:cacheHierarchy aggregatedColumn="4"/>
        </ext>
      </extLst>
    </cacheHierarchy>
    <cacheHierarchy uniqueName="[Measures].[Sum of IgM]" caption="Sum of IgM" measure="1" displayFolder="" measureGroup="Dataset"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ataset" count="0" hidden="1">
      <extLst>
        <ext xmlns:x15="http://schemas.microsoft.com/office/spreadsheetml/2010/11/main" uri="{B97F6D7D-B522-45F9-BDA1-12C45D357490}">
          <x15:cacheHierarchy aggregatedColumn="1"/>
        </ext>
      </extLst>
    </cacheHierarchy>
    <cacheHierarchy uniqueName="[Measures].[Average of Age]" caption="Average of Age" measure="1" displayFolder="" measureGroup="Dataset" count="0" hidden="1">
      <extLst>
        <ext xmlns:x15="http://schemas.microsoft.com/office/spreadsheetml/2010/11/main" uri="{B97F6D7D-B522-45F9-BDA1-12C45D357490}">
          <x15:cacheHierarchy aggregatedColumn="1"/>
        </ext>
      </extLst>
    </cacheHierarchy>
  </cacheHierarchies>
  <kpis count="0"/>
  <dimensions count="2">
    <dimension name="Dataset" uniqueName="[Dataset]" caption="Dataset"/>
    <dimension measure="1" name="Measures" uniqueName="[Measures]" caption="Measures"/>
  </dimensions>
  <measureGroups count="1">
    <measureGroup name="Dataset" caption="Datase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ehedi Hasan" refreshedDate="45691.024607523148" backgroundQuery="1" createdVersion="7" refreshedVersion="7" minRefreshableVersion="3" recordCount="0" supportSubquery="1" supportAdvancedDrill="1" xr:uid="{1D30629A-52C7-4A60-A112-28CC655271C3}">
  <cacheSource type="external" connectionId="3"/>
  <cacheFields count="4">
    <cacheField name="[Dataset].[AreaType].[AreaType]" caption="AreaType" numFmtId="0" hierarchy="8" level="1">
      <sharedItems count="2">
        <s v="Developed"/>
        <s v="Undeveloped"/>
      </sharedItems>
    </cacheField>
    <cacheField name="[Dataset].[HouseType].[HouseType]" caption="HouseType" numFmtId="0" hierarchy="9" level="1">
      <sharedItems count="3">
        <s v="Building"/>
        <s v="Other"/>
        <s v="Tinshed"/>
      </sharedItems>
    </cacheField>
    <cacheField name="[Measures].[Sum of Outcome]" caption="Sum of Outcome" numFmtId="0" hierarchy="24" level="32767"/>
    <cacheField name="[Dataset].[Gender].[Gender]" caption="Gender" numFmtId="0" level="1">
      <sharedItems containsSemiMixedTypes="0" containsNonDate="0" containsString="0"/>
    </cacheField>
  </cacheFields>
  <cacheHierarchies count="32">
    <cacheHierarchy uniqueName="[Dataset].[Gender]" caption="Gender" attribute="1" defaultMemberUniqueName="[Dataset].[Gender].[All]" allUniqueName="[Dataset].[Gender].[All]" dimensionUniqueName="[Dataset]" displayFolder="" count="2" memberValueDatatype="130" unbalanced="0">
      <fieldsUsage count="2">
        <fieldUsage x="-1"/>
        <fieldUsage x="3"/>
      </fieldsUsage>
    </cacheHierarchy>
    <cacheHierarchy uniqueName="[Dataset].[Age]" caption="Age" attribute="1" defaultMemberUniqueName="[Dataset].[Age].[All]" allUniqueName="[Dataset].[Age].[All]" dimensionUniqueName="[Dataset]" displayFolder="" count="0" memberValueDatatype="20" unbalanced="0"/>
    <cacheHierarchy uniqueName="[Dataset].[Age Group]" caption="Age Group" attribute="1" defaultMemberUniqueName="[Dataset].[Age Group].[All]" allUniqueName="[Dataset].[Age Group].[All]" dimensionUniqueName="[Dataset]" displayFolder="" count="0" memberValueDatatype="130" unbalanced="0"/>
    <cacheHierarchy uniqueName="[Dataset].[NS1]" caption="NS1" attribute="1" defaultMemberUniqueName="[Dataset].[NS1].[All]" allUniqueName="[Dataset].[NS1].[All]" dimensionUniqueName="[Dataset]" displayFolder="" count="0" memberValueDatatype="20" unbalanced="0"/>
    <cacheHierarchy uniqueName="[Dataset].[IgG]" caption="IgG" attribute="1" defaultMemberUniqueName="[Dataset].[IgG].[All]" allUniqueName="[Dataset].[IgG].[All]" dimensionUniqueName="[Dataset]" displayFolder="" count="0" memberValueDatatype="20" unbalanced="0"/>
    <cacheHierarchy uniqueName="[Dataset].[IgM]" caption="IgM" attribute="1" defaultMemberUniqueName="[Dataset].[IgM].[All]" allUniqueName="[Dataset].[IgM].[All]" dimensionUniqueName="[Dataset]" displayFolder="" count="0" memberValueDatatype="20" unbalanced="0"/>
    <cacheHierarchy uniqueName="[Dataset].[Risk Type]" caption="Risk Type" attribute="1" defaultMemberUniqueName="[Dataset].[Risk Type].[All]" allUniqueName="[Dataset].[Risk Type].[All]" dimensionUniqueName="[Dataset]" displayFolder="" count="0" memberValueDatatype="130" unbalanced="0"/>
    <cacheHierarchy uniqueName="[Dataset].[Area]" caption="Area" attribute="1" defaultMemberUniqueName="[Dataset].[Area].[All]" allUniqueName="[Dataset].[Area].[All]" dimensionUniqueName="[Dataset]" displayFolder="" count="0" memberValueDatatype="130" unbalanced="0"/>
    <cacheHierarchy uniqueName="[Dataset].[AreaType]" caption="AreaType" attribute="1" defaultMemberUniqueName="[Dataset].[AreaType].[All]" allUniqueName="[Dataset].[AreaType].[All]" dimensionUniqueName="[Dataset]" displayFolder="" count="2" memberValueDatatype="130" unbalanced="0">
      <fieldsUsage count="2">
        <fieldUsage x="-1"/>
        <fieldUsage x="0"/>
      </fieldsUsage>
    </cacheHierarchy>
    <cacheHierarchy uniqueName="[Dataset].[HouseType]" caption="HouseType" attribute="1" defaultMemberUniqueName="[Dataset].[HouseType].[All]" allUniqueName="[Dataset].[HouseType].[All]" dimensionUniqueName="[Dataset]" displayFolder="" count="2" memberValueDatatype="130" unbalanced="0">
      <fieldsUsage count="2">
        <fieldUsage x="-1"/>
        <fieldUsage x="1"/>
      </fieldsUsage>
    </cacheHierarchy>
    <cacheHierarchy uniqueName="[Dataset].[Outcome]" caption="Outcome" attribute="1" defaultMemberUniqueName="[Dataset].[Outcome].[All]" allUniqueName="[Dataset].[Outcome].[All]" dimensionUniqueName="[Dataset]" displayFolder="" count="0" memberValueDatatype="20" unbalanced="0"/>
    <cacheHierarchy uniqueName="[Measures].[NS1_Positivity_Rate]" caption="NS1_Positivity_Rate" measure="1" displayFolder="" measureGroup="Dataset" count="0"/>
    <cacheHierarchy uniqueName="[Measures].[IgG_Positivity_Rate]" caption="IgG_Positivity_Rate" measure="1" displayFolder="" measureGroup="Dataset" count="0"/>
    <cacheHierarchy uniqueName="[Measures].[IgM_Positivity_Rate]" caption="IgM_Positivity_Rate" measure="1" displayFolder="" measureGroup="Dataset" count="0"/>
    <cacheHierarchy uniqueName="[Measures].[Dengue Positivity Rate (%)]" caption="Dengue Positivity Rate (%)" measure="1" displayFolder="" measureGroup="Dataset" count="0"/>
    <cacheHierarchy uniqueName="[Measures].[Total_Dengue_Cases]" caption="Total_Dengue_Cases" measure="1" displayFolder="" measureGroup="Dataset" count="0"/>
    <cacheHierarchy uniqueName="[Measures].[Confirmed_NS1_Positives]" caption="Confirmed_NS1_Positives" measure="1" displayFolder="" measureGroup="Dataset" count="0"/>
    <cacheHierarchy uniqueName="[Measures].[Confirmed_IgG_Positives]" caption="Confirmed_IgG_Positives" measure="1" displayFolder="" measureGroup="Dataset" count="0"/>
    <cacheHierarchy uniqueName="[Measures].[Confirmed_IgM_Positives]" caption="Confirmed_IgM_Positives" measure="1" displayFolder="" measureGroup="Dataset" count="0"/>
    <cacheHierarchy uniqueName="[Measures].[NS1_Effectiveness]" caption="NS1_Effectiveness" measure="1" displayFolder="" measureGroup="Dataset" count="0"/>
    <cacheHierarchy uniqueName="[Measures].[IgG_Effectiveness]" caption="IgG_Effectiveness" measure="1" displayFolder="" measureGroup="Dataset" count="0"/>
    <cacheHierarchy uniqueName="[Measures].[IgM_Effectiveness]" caption="IgM_Effectiveness" measure="1" displayFolder="" measureGroup="Dataset" count="0"/>
    <cacheHierarchy uniqueName="[Measures].[__XL_Count Dataset]" caption="__XL_Count Dataset" measure="1" displayFolder="" measureGroup="Dataset" count="0" hidden="1"/>
    <cacheHierarchy uniqueName="[Measures].[__No measures defined]" caption="__No measures defined" measure="1" displayFolder="" count="0" hidden="1"/>
    <cacheHierarchy uniqueName="[Measures].[Sum of Outcome]" caption="Sum of Outcome" measure="1" displayFolder="" measureGroup="Dataset" count="0" oneField="1" hidden="1">
      <fieldsUsage count="1">
        <fieldUsage x="2"/>
      </fieldsUsage>
      <extLst>
        <ext xmlns:x15="http://schemas.microsoft.com/office/spreadsheetml/2010/11/main" uri="{B97F6D7D-B522-45F9-BDA1-12C45D357490}">
          <x15:cacheHierarchy aggregatedColumn="10"/>
        </ext>
      </extLst>
    </cacheHierarchy>
    <cacheHierarchy uniqueName="[Measures].[Count of Outcome]" caption="Count of Outcome" measure="1" displayFolder="" measureGroup="Dataset" count="0" hidden="1">
      <extLst>
        <ext xmlns:x15="http://schemas.microsoft.com/office/spreadsheetml/2010/11/main" uri="{B97F6D7D-B522-45F9-BDA1-12C45D357490}">
          <x15:cacheHierarchy aggregatedColumn="10"/>
        </ext>
      </extLst>
    </cacheHierarchy>
    <cacheHierarchy uniqueName="[Measures].[Average of Outcome]" caption="Average of Outcome" measure="1" displayFolder="" measureGroup="Dataset" count="0" hidden="1">
      <extLst>
        <ext xmlns:x15="http://schemas.microsoft.com/office/spreadsheetml/2010/11/main" uri="{B97F6D7D-B522-45F9-BDA1-12C45D357490}">
          <x15:cacheHierarchy aggregatedColumn="10"/>
        </ext>
      </extLst>
    </cacheHierarchy>
    <cacheHierarchy uniqueName="[Measures].[Sum of NS1]" caption="Sum of NS1" measure="1" displayFolder="" measureGroup="Dataset" count="0" hidden="1">
      <extLst>
        <ext xmlns:x15="http://schemas.microsoft.com/office/spreadsheetml/2010/11/main" uri="{B97F6D7D-B522-45F9-BDA1-12C45D357490}">
          <x15:cacheHierarchy aggregatedColumn="3"/>
        </ext>
      </extLst>
    </cacheHierarchy>
    <cacheHierarchy uniqueName="[Measures].[Sum of IgG]" caption="Sum of IgG" measure="1" displayFolder="" measureGroup="Dataset" count="0" hidden="1">
      <extLst>
        <ext xmlns:x15="http://schemas.microsoft.com/office/spreadsheetml/2010/11/main" uri="{B97F6D7D-B522-45F9-BDA1-12C45D357490}">
          <x15:cacheHierarchy aggregatedColumn="4"/>
        </ext>
      </extLst>
    </cacheHierarchy>
    <cacheHierarchy uniqueName="[Measures].[Sum of IgM]" caption="Sum of IgM" measure="1" displayFolder="" measureGroup="Dataset"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ataset" count="0" hidden="1">
      <extLst>
        <ext xmlns:x15="http://schemas.microsoft.com/office/spreadsheetml/2010/11/main" uri="{B97F6D7D-B522-45F9-BDA1-12C45D357490}">
          <x15:cacheHierarchy aggregatedColumn="1"/>
        </ext>
      </extLst>
    </cacheHierarchy>
    <cacheHierarchy uniqueName="[Measures].[Average of Age]" caption="Average of Age" measure="1" displayFolder="" measureGroup="Dataset" count="0" hidden="1">
      <extLst>
        <ext xmlns:x15="http://schemas.microsoft.com/office/spreadsheetml/2010/11/main" uri="{B97F6D7D-B522-45F9-BDA1-12C45D357490}">
          <x15:cacheHierarchy aggregatedColumn="1"/>
        </ext>
      </extLst>
    </cacheHierarchy>
  </cacheHierarchies>
  <kpis count="0"/>
  <dimensions count="2">
    <dimension name="Dataset" uniqueName="[Dataset]" caption="Dataset"/>
    <dimension measure="1" name="Measures" uniqueName="[Measures]" caption="Measures"/>
  </dimensions>
  <measureGroups count="1">
    <measureGroup name="Dataset" caption="Datase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ehedi Hasan" refreshedDate="45691.024607870371" backgroundQuery="1" createdVersion="7" refreshedVersion="7" minRefreshableVersion="3" recordCount="0" supportSubquery="1" supportAdvancedDrill="1" xr:uid="{05BA9383-401A-426D-B0FF-ABB67A85F58E}">
  <cacheSource type="external" connectionId="3"/>
  <cacheFields count="2">
    <cacheField name="[Dataset].[Gender].[Gender]" caption="Gender" numFmtId="0" level="1">
      <sharedItems count="2">
        <s v="Female"/>
        <s v="Male"/>
      </sharedItems>
    </cacheField>
    <cacheField name="[Measures].[Sum of Outcome]" caption="Sum of Outcome" numFmtId="0" hierarchy="24" level="32767"/>
  </cacheFields>
  <cacheHierarchies count="32">
    <cacheHierarchy uniqueName="[Dataset].[Gender]" caption="Gender" attribute="1" defaultMemberUniqueName="[Dataset].[Gender].[All]" allUniqueName="[Dataset].[Gender].[All]" dimensionUniqueName="[Dataset]" displayFolder="" count="2" memberValueDatatype="130" unbalanced="0">
      <fieldsUsage count="2">
        <fieldUsage x="-1"/>
        <fieldUsage x="0"/>
      </fieldsUsage>
    </cacheHierarchy>
    <cacheHierarchy uniqueName="[Dataset].[Age]" caption="Age" attribute="1" defaultMemberUniqueName="[Dataset].[Age].[All]" allUniqueName="[Dataset].[Age].[All]" dimensionUniqueName="[Dataset]" displayFolder="" count="0" memberValueDatatype="20" unbalanced="0"/>
    <cacheHierarchy uniqueName="[Dataset].[Age Group]" caption="Age Group" attribute="1" defaultMemberUniqueName="[Dataset].[Age Group].[All]" allUniqueName="[Dataset].[Age Group].[All]" dimensionUniqueName="[Dataset]" displayFolder="" count="0" memberValueDatatype="130" unbalanced="0"/>
    <cacheHierarchy uniqueName="[Dataset].[NS1]" caption="NS1" attribute="1" defaultMemberUniqueName="[Dataset].[NS1].[All]" allUniqueName="[Dataset].[NS1].[All]" dimensionUniqueName="[Dataset]" displayFolder="" count="0" memberValueDatatype="20" unbalanced="0"/>
    <cacheHierarchy uniqueName="[Dataset].[IgG]" caption="IgG" attribute="1" defaultMemberUniqueName="[Dataset].[IgG].[All]" allUniqueName="[Dataset].[IgG].[All]" dimensionUniqueName="[Dataset]" displayFolder="" count="0" memberValueDatatype="20" unbalanced="0"/>
    <cacheHierarchy uniqueName="[Dataset].[IgM]" caption="IgM" attribute="1" defaultMemberUniqueName="[Dataset].[IgM].[All]" allUniqueName="[Dataset].[IgM].[All]" dimensionUniqueName="[Dataset]" displayFolder="" count="0" memberValueDatatype="20" unbalanced="0"/>
    <cacheHierarchy uniqueName="[Dataset].[Risk Type]" caption="Risk Type" attribute="1" defaultMemberUniqueName="[Dataset].[Risk Type].[All]" allUniqueName="[Dataset].[Risk Type].[All]" dimensionUniqueName="[Dataset]" displayFolder="" count="0" memberValueDatatype="130" unbalanced="0"/>
    <cacheHierarchy uniqueName="[Dataset].[Area]" caption="Area" attribute="1" defaultMemberUniqueName="[Dataset].[Area].[All]" allUniqueName="[Dataset].[Area].[All]" dimensionUniqueName="[Dataset]" displayFolder="" count="0" memberValueDatatype="130" unbalanced="0"/>
    <cacheHierarchy uniqueName="[Dataset].[AreaType]" caption="AreaType" attribute="1" defaultMemberUniqueName="[Dataset].[AreaType].[All]" allUniqueName="[Dataset].[AreaType].[All]" dimensionUniqueName="[Dataset]" displayFolder="" count="2" memberValueDatatype="130" unbalanced="0"/>
    <cacheHierarchy uniqueName="[Dataset].[HouseType]" caption="HouseType" attribute="1" defaultMemberUniqueName="[Dataset].[HouseType].[All]" allUniqueName="[Dataset].[HouseType].[All]" dimensionUniqueName="[Dataset]" displayFolder="" count="2" memberValueDatatype="130" unbalanced="0"/>
    <cacheHierarchy uniqueName="[Dataset].[Outcome]" caption="Outcome" attribute="1" defaultMemberUniqueName="[Dataset].[Outcome].[All]" allUniqueName="[Dataset].[Outcome].[All]" dimensionUniqueName="[Dataset]" displayFolder="" count="0" memberValueDatatype="20" unbalanced="0"/>
    <cacheHierarchy uniqueName="[Measures].[NS1_Positivity_Rate]" caption="NS1_Positivity_Rate" measure="1" displayFolder="" measureGroup="Dataset" count="0"/>
    <cacheHierarchy uniqueName="[Measures].[IgG_Positivity_Rate]" caption="IgG_Positivity_Rate" measure="1" displayFolder="" measureGroup="Dataset" count="0"/>
    <cacheHierarchy uniqueName="[Measures].[IgM_Positivity_Rate]" caption="IgM_Positivity_Rate" measure="1" displayFolder="" measureGroup="Dataset" count="0"/>
    <cacheHierarchy uniqueName="[Measures].[Dengue Positivity Rate (%)]" caption="Dengue Positivity Rate (%)" measure="1" displayFolder="" measureGroup="Dataset" count="0"/>
    <cacheHierarchy uniqueName="[Measures].[Total_Dengue_Cases]" caption="Total_Dengue_Cases" measure="1" displayFolder="" measureGroup="Dataset" count="0"/>
    <cacheHierarchy uniqueName="[Measures].[Confirmed_NS1_Positives]" caption="Confirmed_NS1_Positives" measure="1" displayFolder="" measureGroup="Dataset" count="0"/>
    <cacheHierarchy uniqueName="[Measures].[Confirmed_IgG_Positives]" caption="Confirmed_IgG_Positives" measure="1" displayFolder="" measureGroup="Dataset" count="0"/>
    <cacheHierarchy uniqueName="[Measures].[Confirmed_IgM_Positives]" caption="Confirmed_IgM_Positives" measure="1" displayFolder="" measureGroup="Dataset" count="0"/>
    <cacheHierarchy uniqueName="[Measures].[NS1_Effectiveness]" caption="NS1_Effectiveness" measure="1" displayFolder="" measureGroup="Dataset" count="0"/>
    <cacheHierarchy uniqueName="[Measures].[IgG_Effectiveness]" caption="IgG_Effectiveness" measure="1" displayFolder="" measureGroup="Dataset" count="0"/>
    <cacheHierarchy uniqueName="[Measures].[IgM_Effectiveness]" caption="IgM_Effectiveness" measure="1" displayFolder="" measureGroup="Dataset" count="0"/>
    <cacheHierarchy uniqueName="[Measures].[__XL_Count Dataset]" caption="__XL_Count Dataset" measure="1" displayFolder="" measureGroup="Dataset" count="0" hidden="1"/>
    <cacheHierarchy uniqueName="[Measures].[__No measures defined]" caption="__No measures defined" measure="1" displayFolder="" count="0" hidden="1"/>
    <cacheHierarchy uniqueName="[Measures].[Sum of Outcome]" caption="Sum of Outcome" measure="1" displayFolder="" measureGroup="Dataset" count="0" oneField="1" hidden="1">
      <fieldsUsage count="1">
        <fieldUsage x="1"/>
      </fieldsUsage>
      <extLst>
        <ext xmlns:x15="http://schemas.microsoft.com/office/spreadsheetml/2010/11/main" uri="{B97F6D7D-B522-45F9-BDA1-12C45D357490}">
          <x15:cacheHierarchy aggregatedColumn="10"/>
        </ext>
      </extLst>
    </cacheHierarchy>
    <cacheHierarchy uniqueName="[Measures].[Count of Outcome]" caption="Count of Outcome" measure="1" displayFolder="" measureGroup="Dataset" count="0" hidden="1">
      <extLst>
        <ext xmlns:x15="http://schemas.microsoft.com/office/spreadsheetml/2010/11/main" uri="{B97F6D7D-B522-45F9-BDA1-12C45D357490}">
          <x15:cacheHierarchy aggregatedColumn="10"/>
        </ext>
      </extLst>
    </cacheHierarchy>
    <cacheHierarchy uniqueName="[Measures].[Average of Outcome]" caption="Average of Outcome" measure="1" displayFolder="" measureGroup="Dataset" count="0" hidden="1">
      <extLst>
        <ext xmlns:x15="http://schemas.microsoft.com/office/spreadsheetml/2010/11/main" uri="{B97F6D7D-B522-45F9-BDA1-12C45D357490}">
          <x15:cacheHierarchy aggregatedColumn="10"/>
        </ext>
      </extLst>
    </cacheHierarchy>
    <cacheHierarchy uniqueName="[Measures].[Sum of NS1]" caption="Sum of NS1" measure="1" displayFolder="" measureGroup="Dataset" count="0" hidden="1">
      <extLst>
        <ext xmlns:x15="http://schemas.microsoft.com/office/spreadsheetml/2010/11/main" uri="{B97F6D7D-B522-45F9-BDA1-12C45D357490}">
          <x15:cacheHierarchy aggregatedColumn="3"/>
        </ext>
      </extLst>
    </cacheHierarchy>
    <cacheHierarchy uniqueName="[Measures].[Sum of IgG]" caption="Sum of IgG" measure="1" displayFolder="" measureGroup="Dataset" count="0" hidden="1">
      <extLst>
        <ext xmlns:x15="http://schemas.microsoft.com/office/spreadsheetml/2010/11/main" uri="{B97F6D7D-B522-45F9-BDA1-12C45D357490}">
          <x15:cacheHierarchy aggregatedColumn="4"/>
        </ext>
      </extLst>
    </cacheHierarchy>
    <cacheHierarchy uniqueName="[Measures].[Sum of IgM]" caption="Sum of IgM" measure="1" displayFolder="" measureGroup="Dataset"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ataset" count="0" hidden="1">
      <extLst>
        <ext xmlns:x15="http://schemas.microsoft.com/office/spreadsheetml/2010/11/main" uri="{B97F6D7D-B522-45F9-BDA1-12C45D357490}">
          <x15:cacheHierarchy aggregatedColumn="1"/>
        </ext>
      </extLst>
    </cacheHierarchy>
    <cacheHierarchy uniqueName="[Measures].[Average of Age]" caption="Average of Age" measure="1" displayFolder="" measureGroup="Dataset" count="0" hidden="1">
      <extLst>
        <ext xmlns:x15="http://schemas.microsoft.com/office/spreadsheetml/2010/11/main" uri="{B97F6D7D-B522-45F9-BDA1-12C45D357490}">
          <x15:cacheHierarchy aggregatedColumn="1"/>
        </ext>
      </extLst>
    </cacheHierarchy>
  </cacheHierarchies>
  <kpis count="0"/>
  <dimensions count="2">
    <dimension name="Dataset" uniqueName="[Dataset]" caption="Dataset"/>
    <dimension measure="1" name="Measures" uniqueName="[Measures]" caption="Measures"/>
  </dimensions>
  <measureGroups count="1">
    <measureGroup name="Dataset" caption="Datase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ehedi Hasan" refreshedDate="45691.024608101849" backgroundQuery="1" createdVersion="7" refreshedVersion="7" minRefreshableVersion="3" recordCount="0" supportSubquery="1" supportAdvancedDrill="1" xr:uid="{6F94C593-25A2-4ABC-AEE0-5243F428D906}">
  <cacheSource type="external" connectionId="3"/>
  <cacheFields count="2">
    <cacheField name="[Measures].[Count of Outcome]" caption="Count of Outcome" numFmtId="0" hierarchy="25" level="32767"/>
    <cacheField name="[Dataset].[Gender].[Gender]" caption="Gender" numFmtId="0" level="1">
      <sharedItems containsSemiMixedTypes="0" containsNonDate="0" containsString="0"/>
    </cacheField>
  </cacheFields>
  <cacheHierarchies count="32">
    <cacheHierarchy uniqueName="[Dataset].[Gender]" caption="Gender" attribute="1" defaultMemberUniqueName="[Dataset].[Gender].[All]" allUniqueName="[Dataset].[Gender].[All]" dimensionUniqueName="[Dataset]" displayFolder="" count="2" memberValueDatatype="130" unbalanced="0">
      <fieldsUsage count="2">
        <fieldUsage x="-1"/>
        <fieldUsage x="1"/>
      </fieldsUsage>
    </cacheHierarchy>
    <cacheHierarchy uniqueName="[Dataset].[Age]" caption="Age" attribute="1" defaultMemberUniqueName="[Dataset].[Age].[All]" allUniqueName="[Dataset].[Age].[All]" dimensionUniqueName="[Dataset]" displayFolder="" count="0" memberValueDatatype="20" unbalanced="0"/>
    <cacheHierarchy uniqueName="[Dataset].[Age Group]" caption="Age Group" attribute="1" defaultMemberUniqueName="[Dataset].[Age Group].[All]" allUniqueName="[Dataset].[Age Group].[All]" dimensionUniqueName="[Dataset]" displayFolder="" count="0" memberValueDatatype="130" unbalanced="0"/>
    <cacheHierarchy uniqueName="[Dataset].[NS1]" caption="NS1" attribute="1" defaultMemberUniqueName="[Dataset].[NS1].[All]" allUniqueName="[Dataset].[NS1].[All]" dimensionUniqueName="[Dataset]" displayFolder="" count="0" memberValueDatatype="20" unbalanced="0"/>
    <cacheHierarchy uniqueName="[Dataset].[IgG]" caption="IgG" attribute="1" defaultMemberUniqueName="[Dataset].[IgG].[All]" allUniqueName="[Dataset].[IgG].[All]" dimensionUniqueName="[Dataset]" displayFolder="" count="0" memberValueDatatype="20" unbalanced="0"/>
    <cacheHierarchy uniqueName="[Dataset].[IgM]" caption="IgM" attribute="1" defaultMemberUniqueName="[Dataset].[IgM].[All]" allUniqueName="[Dataset].[IgM].[All]" dimensionUniqueName="[Dataset]" displayFolder="" count="0" memberValueDatatype="20" unbalanced="0"/>
    <cacheHierarchy uniqueName="[Dataset].[Risk Type]" caption="Risk Type" attribute="1" defaultMemberUniqueName="[Dataset].[Risk Type].[All]" allUniqueName="[Dataset].[Risk Type].[All]" dimensionUniqueName="[Dataset]" displayFolder="" count="0" memberValueDatatype="130" unbalanced="0"/>
    <cacheHierarchy uniqueName="[Dataset].[Area]" caption="Area" attribute="1" defaultMemberUniqueName="[Dataset].[Area].[All]" allUniqueName="[Dataset].[Area].[All]" dimensionUniqueName="[Dataset]" displayFolder="" count="0" memberValueDatatype="130" unbalanced="0"/>
    <cacheHierarchy uniqueName="[Dataset].[AreaType]" caption="AreaType" attribute="1" defaultMemberUniqueName="[Dataset].[AreaType].[All]" allUniqueName="[Dataset].[AreaType].[All]" dimensionUniqueName="[Dataset]" displayFolder="" count="2" memberValueDatatype="130" unbalanced="0"/>
    <cacheHierarchy uniqueName="[Dataset].[HouseType]" caption="HouseType" attribute="1" defaultMemberUniqueName="[Dataset].[HouseType].[All]" allUniqueName="[Dataset].[HouseType].[All]" dimensionUniqueName="[Dataset]" displayFolder="" count="2" memberValueDatatype="130" unbalanced="0"/>
    <cacheHierarchy uniqueName="[Dataset].[Outcome]" caption="Outcome" attribute="1" defaultMemberUniqueName="[Dataset].[Outcome].[All]" allUniqueName="[Dataset].[Outcome].[All]" dimensionUniqueName="[Dataset]" displayFolder="" count="0" memberValueDatatype="20" unbalanced="0"/>
    <cacheHierarchy uniqueName="[Measures].[NS1_Positivity_Rate]" caption="NS1_Positivity_Rate" measure="1" displayFolder="" measureGroup="Dataset" count="0"/>
    <cacheHierarchy uniqueName="[Measures].[IgG_Positivity_Rate]" caption="IgG_Positivity_Rate" measure="1" displayFolder="" measureGroup="Dataset" count="0"/>
    <cacheHierarchy uniqueName="[Measures].[IgM_Positivity_Rate]" caption="IgM_Positivity_Rate" measure="1" displayFolder="" measureGroup="Dataset" count="0"/>
    <cacheHierarchy uniqueName="[Measures].[Dengue Positivity Rate (%)]" caption="Dengue Positivity Rate (%)" measure="1" displayFolder="" measureGroup="Dataset" count="0"/>
    <cacheHierarchy uniqueName="[Measures].[Total_Dengue_Cases]" caption="Total_Dengue_Cases" measure="1" displayFolder="" measureGroup="Dataset" count="0"/>
    <cacheHierarchy uniqueName="[Measures].[Confirmed_NS1_Positives]" caption="Confirmed_NS1_Positives" measure="1" displayFolder="" measureGroup="Dataset" count="0"/>
    <cacheHierarchy uniqueName="[Measures].[Confirmed_IgG_Positives]" caption="Confirmed_IgG_Positives" measure="1" displayFolder="" measureGroup="Dataset" count="0"/>
    <cacheHierarchy uniqueName="[Measures].[Confirmed_IgM_Positives]" caption="Confirmed_IgM_Positives" measure="1" displayFolder="" measureGroup="Dataset" count="0"/>
    <cacheHierarchy uniqueName="[Measures].[NS1_Effectiveness]" caption="NS1_Effectiveness" measure="1" displayFolder="" measureGroup="Dataset" count="0"/>
    <cacheHierarchy uniqueName="[Measures].[IgG_Effectiveness]" caption="IgG_Effectiveness" measure="1" displayFolder="" measureGroup="Dataset" count="0"/>
    <cacheHierarchy uniqueName="[Measures].[IgM_Effectiveness]" caption="IgM_Effectiveness" measure="1" displayFolder="" measureGroup="Dataset" count="0"/>
    <cacheHierarchy uniqueName="[Measures].[__XL_Count Dataset]" caption="__XL_Count Dataset" measure="1" displayFolder="" measureGroup="Dataset" count="0" hidden="1"/>
    <cacheHierarchy uniqueName="[Measures].[__No measures defined]" caption="__No measures defined" measure="1" displayFolder="" count="0" hidden="1"/>
    <cacheHierarchy uniqueName="[Measures].[Sum of Outcome]" caption="Sum of Outcome" measure="1" displayFolder="" measureGroup="Dataset" count="0" hidden="1">
      <extLst>
        <ext xmlns:x15="http://schemas.microsoft.com/office/spreadsheetml/2010/11/main" uri="{B97F6D7D-B522-45F9-BDA1-12C45D357490}">
          <x15:cacheHierarchy aggregatedColumn="10"/>
        </ext>
      </extLst>
    </cacheHierarchy>
    <cacheHierarchy uniqueName="[Measures].[Count of Outcome]" caption="Count of Outcome" measure="1" displayFolder="" measureGroup="Dataset" count="0" oneField="1" hidden="1">
      <fieldsUsage count="1">
        <fieldUsage x="0"/>
      </fieldsUsage>
      <extLst>
        <ext xmlns:x15="http://schemas.microsoft.com/office/spreadsheetml/2010/11/main" uri="{B97F6D7D-B522-45F9-BDA1-12C45D357490}">
          <x15:cacheHierarchy aggregatedColumn="10"/>
        </ext>
      </extLst>
    </cacheHierarchy>
    <cacheHierarchy uniqueName="[Measures].[Average of Outcome]" caption="Average of Outcome" measure="1" displayFolder="" measureGroup="Dataset" count="0" hidden="1">
      <extLst>
        <ext xmlns:x15="http://schemas.microsoft.com/office/spreadsheetml/2010/11/main" uri="{B97F6D7D-B522-45F9-BDA1-12C45D357490}">
          <x15:cacheHierarchy aggregatedColumn="10"/>
        </ext>
      </extLst>
    </cacheHierarchy>
    <cacheHierarchy uniqueName="[Measures].[Sum of NS1]" caption="Sum of NS1" measure="1" displayFolder="" measureGroup="Dataset" count="0" hidden="1">
      <extLst>
        <ext xmlns:x15="http://schemas.microsoft.com/office/spreadsheetml/2010/11/main" uri="{B97F6D7D-B522-45F9-BDA1-12C45D357490}">
          <x15:cacheHierarchy aggregatedColumn="3"/>
        </ext>
      </extLst>
    </cacheHierarchy>
    <cacheHierarchy uniqueName="[Measures].[Sum of IgG]" caption="Sum of IgG" measure="1" displayFolder="" measureGroup="Dataset" count="0" hidden="1">
      <extLst>
        <ext xmlns:x15="http://schemas.microsoft.com/office/spreadsheetml/2010/11/main" uri="{B97F6D7D-B522-45F9-BDA1-12C45D357490}">
          <x15:cacheHierarchy aggregatedColumn="4"/>
        </ext>
      </extLst>
    </cacheHierarchy>
    <cacheHierarchy uniqueName="[Measures].[Sum of IgM]" caption="Sum of IgM" measure="1" displayFolder="" measureGroup="Dataset"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ataset" count="0" hidden="1">
      <extLst>
        <ext xmlns:x15="http://schemas.microsoft.com/office/spreadsheetml/2010/11/main" uri="{B97F6D7D-B522-45F9-BDA1-12C45D357490}">
          <x15:cacheHierarchy aggregatedColumn="1"/>
        </ext>
      </extLst>
    </cacheHierarchy>
    <cacheHierarchy uniqueName="[Measures].[Average of Age]" caption="Average of Age" measure="1" displayFolder="" measureGroup="Dataset" count="0" hidden="1">
      <extLst>
        <ext xmlns:x15="http://schemas.microsoft.com/office/spreadsheetml/2010/11/main" uri="{B97F6D7D-B522-45F9-BDA1-12C45D357490}">
          <x15:cacheHierarchy aggregatedColumn="1"/>
        </ext>
      </extLst>
    </cacheHierarchy>
  </cacheHierarchies>
  <kpis count="0"/>
  <dimensions count="2">
    <dimension name="Dataset" uniqueName="[Dataset]" caption="Dataset"/>
    <dimension measure="1" name="Measures" uniqueName="[Measures]" caption="Measures"/>
  </dimensions>
  <measureGroups count="1">
    <measureGroup name="Dataset" caption="Datase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ehedi Hasan" refreshedDate="45691.024608217595" backgroundQuery="1" createdVersion="7" refreshedVersion="7" minRefreshableVersion="3" recordCount="0" supportSubquery="1" supportAdvancedDrill="1" xr:uid="{DD7A9221-2EA9-42FE-B22A-ABE8DF94539D}">
  <cacheSource type="external" connectionId="3"/>
  <cacheFields count="2">
    <cacheField name="[Measures].[Average of Outcome]" caption="Average of Outcome" numFmtId="0" hierarchy="26" level="32767"/>
    <cacheField name="[Dataset].[Gender].[Gender]" caption="Gender" numFmtId="0" level="1">
      <sharedItems containsSemiMixedTypes="0" containsNonDate="0" containsString="0"/>
    </cacheField>
  </cacheFields>
  <cacheHierarchies count="32">
    <cacheHierarchy uniqueName="[Dataset].[Gender]" caption="Gender" attribute="1" defaultMemberUniqueName="[Dataset].[Gender].[All]" allUniqueName="[Dataset].[Gender].[All]" dimensionUniqueName="[Dataset]" displayFolder="" count="2" memberValueDatatype="130" unbalanced="0">
      <fieldsUsage count="2">
        <fieldUsage x="-1"/>
        <fieldUsage x="1"/>
      </fieldsUsage>
    </cacheHierarchy>
    <cacheHierarchy uniqueName="[Dataset].[Age]" caption="Age" attribute="1" defaultMemberUniqueName="[Dataset].[Age].[All]" allUniqueName="[Dataset].[Age].[All]" dimensionUniqueName="[Dataset]" displayFolder="" count="0" memberValueDatatype="20" unbalanced="0"/>
    <cacheHierarchy uniqueName="[Dataset].[Age Group]" caption="Age Group" attribute="1" defaultMemberUniqueName="[Dataset].[Age Group].[All]" allUniqueName="[Dataset].[Age Group].[All]" dimensionUniqueName="[Dataset]" displayFolder="" count="0" memberValueDatatype="130" unbalanced="0"/>
    <cacheHierarchy uniqueName="[Dataset].[NS1]" caption="NS1" attribute="1" defaultMemberUniqueName="[Dataset].[NS1].[All]" allUniqueName="[Dataset].[NS1].[All]" dimensionUniqueName="[Dataset]" displayFolder="" count="0" memberValueDatatype="20" unbalanced="0"/>
    <cacheHierarchy uniqueName="[Dataset].[IgG]" caption="IgG" attribute="1" defaultMemberUniqueName="[Dataset].[IgG].[All]" allUniqueName="[Dataset].[IgG].[All]" dimensionUniqueName="[Dataset]" displayFolder="" count="0" memberValueDatatype="20" unbalanced="0"/>
    <cacheHierarchy uniqueName="[Dataset].[IgM]" caption="IgM" attribute="1" defaultMemberUniqueName="[Dataset].[IgM].[All]" allUniqueName="[Dataset].[IgM].[All]" dimensionUniqueName="[Dataset]" displayFolder="" count="0" memberValueDatatype="20" unbalanced="0"/>
    <cacheHierarchy uniqueName="[Dataset].[Risk Type]" caption="Risk Type" attribute="1" defaultMemberUniqueName="[Dataset].[Risk Type].[All]" allUniqueName="[Dataset].[Risk Type].[All]" dimensionUniqueName="[Dataset]" displayFolder="" count="0" memberValueDatatype="130" unbalanced="0"/>
    <cacheHierarchy uniqueName="[Dataset].[Area]" caption="Area" attribute="1" defaultMemberUniqueName="[Dataset].[Area].[All]" allUniqueName="[Dataset].[Area].[All]" dimensionUniqueName="[Dataset]" displayFolder="" count="0" memberValueDatatype="130" unbalanced="0"/>
    <cacheHierarchy uniqueName="[Dataset].[AreaType]" caption="AreaType" attribute="1" defaultMemberUniqueName="[Dataset].[AreaType].[All]" allUniqueName="[Dataset].[AreaType].[All]" dimensionUniqueName="[Dataset]" displayFolder="" count="2" memberValueDatatype="130" unbalanced="0"/>
    <cacheHierarchy uniqueName="[Dataset].[HouseType]" caption="HouseType" attribute="1" defaultMemberUniqueName="[Dataset].[HouseType].[All]" allUniqueName="[Dataset].[HouseType].[All]" dimensionUniqueName="[Dataset]" displayFolder="" count="2" memberValueDatatype="130" unbalanced="0"/>
    <cacheHierarchy uniqueName="[Dataset].[Outcome]" caption="Outcome" attribute="1" defaultMemberUniqueName="[Dataset].[Outcome].[All]" allUniqueName="[Dataset].[Outcome].[All]" dimensionUniqueName="[Dataset]" displayFolder="" count="0" memberValueDatatype="20" unbalanced="0"/>
    <cacheHierarchy uniqueName="[Measures].[NS1_Positivity_Rate]" caption="NS1_Positivity_Rate" measure="1" displayFolder="" measureGroup="Dataset" count="0"/>
    <cacheHierarchy uniqueName="[Measures].[IgG_Positivity_Rate]" caption="IgG_Positivity_Rate" measure="1" displayFolder="" measureGroup="Dataset" count="0"/>
    <cacheHierarchy uniqueName="[Measures].[IgM_Positivity_Rate]" caption="IgM_Positivity_Rate" measure="1" displayFolder="" measureGroup="Dataset" count="0"/>
    <cacheHierarchy uniqueName="[Measures].[Dengue Positivity Rate (%)]" caption="Dengue Positivity Rate (%)" measure="1" displayFolder="" measureGroup="Dataset" count="0"/>
    <cacheHierarchy uniqueName="[Measures].[Total_Dengue_Cases]" caption="Total_Dengue_Cases" measure="1" displayFolder="" measureGroup="Dataset" count="0"/>
    <cacheHierarchy uniqueName="[Measures].[Confirmed_NS1_Positives]" caption="Confirmed_NS1_Positives" measure="1" displayFolder="" measureGroup="Dataset" count="0"/>
    <cacheHierarchy uniqueName="[Measures].[Confirmed_IgG_Positives]" caption="Confirmed_IgG_Positives" measure="1" displayFolder="" measureGroup="Dataset" count="0"/>
    <cacheHierarchy uniqueName="[Measures].[Confirmed_IgM_Positives]" caption="Confirmed_IgM_Positives" measure="1" displayFolder="" measureGroup="Dataset" count="0"/>
    <cacheHierarchy uniqueName="[Measures].[NS1_Effectiveness]" caption="NS1_Effectiveness" measure="1" displayFolder="" measureGroup="Dataset" count="0"/>
    <cacheHierarchy uniqueName="[Measures].[IgG_Effectiveness]" caption="IgG_Effectiveness" measure="1" displayFolder="" measureGroup="Dataset" count="0"/>
    <cacheHierarchy uniqueName="[Measures].[IgM_Effectiveness]" caption="IgM_Effectiveness" measure="1" displayFolder="" measureGroup="Dataset" count="0"/>
    <cacheHierarchy uniqueName="[Measures].[__XL_Count Dataset]" caption="__XL_Count Dataset" measure="1" displayFolder="" measureGroup="Dataset" count="0" hidden="1"/>
    <cacheHierarchy uniqueName="[Measures].[__No measures defined]" caption="__No measures defined" measure="1" displayFolder="" count="0" hidden="1"/>
    <cacheHierarchy uniqueName="[Measures].[Sum of Outcome]" caption="Sum of Outcome" measure="1" displayFolder="" measureGroup="Dataset" count="0" hidden="1">
      <extLst>
        <ext xmlns:x15="http://schemas.microsoft.com/office/spreadsheetml/2010/11/main" uri="{B97F6D7D-B522-45F9-BDA1-12C45D357490}">
          <x15:cacheHierarchy aggregatedColumn="10"/>
        </ext>
      </extLst>
    </cacheHierarchy>
    <cacheHierarchy uniqueName="[Measures].[Count of Outcome]" caption="Count of Outcome" measure="1" displayFolder="" measureGroup="Dataset" count="0" hidden="1">
      <extLst>
        <ext xmlns:x15="http://schemas.microsoft.com/office/spreadsheetml/2010/11/main" uri="{B97F6D7D-B522-45F9-BDA1-12C45D357490}">
          <x15:cacheHierarchy aggregatedColumn="10"/>
        </ext>
      </extLst>
    </cacheHierarchy>
    <cacheHierarchy uniqueName="[Measures].[Average of Outcome]" caption="Average of Outcome" measure="1" displayFolder="" measureGroup="Dataset"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NS1]" caption="Sum of NS1" measure="1" displayFolder="" measureGroup="Dataset" count="0" hidden="1">
      <extLst>
        <ext xmlns:x15="http://schemas.microsoft.com/office/spreadsheetml/2010/11/main" uri="{B97F6D7D-B522-45F9-BDA1-12C45D357490}">
          <x15:cacheHierarchy aggregatedColumn="3"/>
        </ext>
      </extLst>
    </cacheHierarchy>
    <cacheHierarchy uniqueName="[Measures].[Sum of IgG]" caption="Sum of IgG" measure="1" displayFolder="" measureGroup="Dataset" count="0" hidden="1">
      <extLst>
        <ext xmlns:x15="http://schemas.microsoft.com/office/spreadsheetml/2010/11/main" uri="{B97F6D7D-B522-45F9-BDA1-12C45D357490}">
          <x15:cacheHierarchy aggregatedColumn="4"/>
        </ext>
      </extLst>
    </cacheHierarchy>
    <cacheHierarchy uniqueName="[Measures].[Sum of IgM]" caption="Sum of IgM" measure="1" displayFolder="" measureGroup="Dataset"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ataset" count="0" hidden="1">
      <extLst>
        <ext xmlns:x15="http://schemas.microsoft.com/office/spreadsheetml/2010/11/main" uri="{B97F6D7D-B522-45F9-BDA1-12C45D357490}">
          <x15:cacheHierarchy aggregatedColumn="1"/>
        </ext>
      </extLst>
    </cacheHierarchy>
    <cacheHierarchy uniqueName="[Measures].[Average of Age]" caption="Average of Age" measure="1" displayFolder="" measureGroup="Dataset" count="0" hidden="1">
      <extLst>
        <ext xmlns:x15="http://schemas.microsoft.com/office/spreadsheetml/2010/11/main" uri="{B97F6D7D-B522-45F9-BDA1-12C45D357490}">
          <x15:cacheHierarchy aggregatedColumn="1"/>
        </ext>
      </extLst>
    </cacheHierarchy>
  </cacheHierarchies>
  <kpis count="0"/>
  <dimensions count="2">
    <dimension name="Dataset" uniqueName="[Dataset]" caption="Dataset"/>
    <dimension measure="1" name="Measures" uniqueName="[Measures]" caption="Measures"/>
  </dimensions>
  <measureGroups count="1">
    <measureGroup name="Dataset" caption="Datase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ehedi Hasan" refreshedDate="45691.024608333333" backgroundQuery="1" createdVersion="7" refreshedVersion="7" minRefreshableVersion="3" recordCount="0" supportSubquery="1" supportAdvancedDrill="1" xr:uid="{037512A6-A7AF-4EC1-8781-B01E742A383E}">
  <cacheSource type="external" connectionId="3"/>
  <cacheFields count="2">
    <cacheField name="[Measures].[Sum of Outcome]" caption="Sum of Outcome" numFmtId="0" hierarchy="24" level="32767"/>
    <cacheField name="[Dataset].[Gender].[Gender]" caption="Gender" numFmtId="0" level="1">
      <sharedItems containsSemiMixedTypes="0" containsNonDate="0" containsString="0"/>
    </cacheField>
  </cacheFields>
  <cacheHierarchies count="32">
    <cacheHierarchy uniqueName="[Dataset].[Gender]" caption="Gender" attribute="1" defaultMemberUniqueName="[Dataset].[Gender].[All]" allUniqueName="[Dataset].[Gender].[All]" dimensionUniqueName="[Dataset]" displayFolder="" count="2" memberValueDatatype="130" unbalanced="0">
      <fieldsUsage count="2">
        <fieldUsage x="-1"/>
        <fieldUsage x="1"/>
      </fieldsUsage>
    </cacheHierarchy>
    <cacheHierarchy uniqueName="[Dataset].[Age]" caption="Age" attribute="1" defaultMemberUniqueName="[Dataset].[Age].[All]" allUniqueName="[Dataset].[Age].[All]" dimensionUniqueName="[Dataset]" displayFolder="" count="0" memberValueDatatype="20" unbalanced="0"/>
    <cacheHierarchy uniqueName="[Dataset].[Age Group]" caption="Age Group" attribute="1" defaultMemberUniqueName="[Dataset].[Age Group].[All]" allUniqueName="[Dataset].[Age Group].[All]" dimensionUniqueName="[Dataset]" displayFolder="" count="0" memberValueDatatype="130" unbalanced="0"/>
    <cacheHierarchy uniqueName="[Dataset].[NS1]" caption="NS1" attribute="1" defaultMemberUniqueName="[Dataset].[NS1].[All]" allUniqueName="[Dataset].[NS1].[All]" dimensionUniqueName="[Dataset]" displayFolder="" count="0" memberValueDatatype="20" unbalanced="0"/>
    <cacheHierarchy uniqueName="[Dataset].[IgG]" caption="IgG" attribute="1" defaultMemberUniqueName="[Dataset].[IgG].[All]" allUniqueName="[Dataset].[IgG].[All]" dimensionUniqueName="[Dataset]" displayFolder="" count="0" memberValueDatatype="20" unbalanced="0"/>
    <cacheHierarchy uniqueName="[Dataset].[IgM]" caption="IgM" attribute="1" defaultMemberUniqueName="[Dataset].[IgM].[All]" allUniqueName="[Dataset].[IgM].[All]" dimensionUniqueName="[Dataset]" displayFolder="" count="0" memberValueDatatype="20" unbalanced="0"/>
    <cacheHierarchy uniqueName="[Dataset].[Risk Type]" caption="Risk Type" attribute="1" defaultMemberUniqueName="[Dataset].[Risk Type].[All]" allUniqueName="[Dataset].[Risk Type].[All]" dimensionUniqueName="[Dataset]" displayFolder="" count="0" memberValueDatatype="130" unbalanced="0"/>
    <cacheHierarchy uniqueName="[Dataset].[Area]" caption="Area" attribute="1" defaultMemberUniqueName="[Dataset].[Area].[All]" allUniqueName="[Dataset].[Area].[All]" dimensionUniqueName="[Dataset]" displayFolder="" count="0" memberValueDatatype="130" unbalanced="0"/>
    <cacheHierarchy uniqueName="[Dataset].[AreaType]" caption="AreaType" attribute="1" defaultMemberUniqueName="[Dataset].[AreaType].[All]" allUniqueName="[Dataset].[AreaType].[All]" dimensionUniqueName="[Dataset]" displayFolder="" count="2" memberValueDatatype="130" unbalanced="0"/>
    <cacheHierarchy uniqueName="[Dataset].[HouseType]" caption="HouseType" attribute="1" defaultMemberUniqueName="[Dataset].[HouseType].[All]" allUniqueName="[Dataset].[HouseType].[All]" dimensionUniqueName="[Dataset]" displayFolder="" count="2" memberValueDatatype="130" unbalanced="0"/>
    <cacheHierarchy uniqueName="[Dataset].[Outcome]" caption="Outcome" attribute="1" defaultMemberUniqueName="[Dataset].[Outcome].[All]" allUniqueName="[Dataset].[Outcome].[All]" dimensionUniqueName="[Dataset]" displayFolder="" count="0" memberValueDatatype="20" unbalanced="0"/>
    <cacheHierarchy uniqueName="[Measures].[NS1_Positivity_Rate]" caption="NS1_Positivity_Rate" measure="1" displayFolder="" measureGroup="Dataset" count="0"/>
    <cacheHierarchy uniqueName="[Measures].[IgG_Positivity_Rate]" caption="IgG_Positivity_Rate" measure="1" displayFolder="" measureGroup="Dataset" count="0"/>
    <cacheHierarchy uniqueName="[Measures].[IgM_Positivity_Rate]" caption="IgM_Positivity_Rate" measure="1" displayFolder="" measureGroup="Dataset" count="0"/>
    <cacheHierarchy uniqueName="[Measures].[Dengue Positivity Rate (%)]" caption="Dengue Positivity Rate (%)" measure="1" displayFolder="" measureGroup="Dataset" count="0"/>
    <cacheHierarchy uniqueName="[Measures].[Total_Dengue_Cases]" caption="Total_Dengue_Cases" measure="1" displayFolder="" measureGroup="Dataset" count="0"/>
    <cacheHierarchy uniqueName="[Measures].[Confirmed_NS1_Positives]" caption="Confirmed_NS1_Positives" measure="1" displayFolder="" measureGroup="Dataset" count="0"/>
    <cacheHierarchy uniqueName="[Measures].[Confirmed_IgG_Positives]" caption="Confirmed_IgG_Positives" measure="1" displayFolder="" measureGroup="Dataset" count="0"/>
    <cacheHierarchy uniqueName="[Measures].[Confirmed_IgM_Positives]" caption="Confirmed_IgM_Positives" measure="1" displayFolder="" measureGroup="Dataset" count="0"/>
    <cacheHierarchy uniqueName="[Measures].[NS1_Effectiveness]" caption="NS1_Effectiveness" measure="1" displayFolder="" measureGroup="Dataset" count="0"/>
    <cacheHierarchy uniqueName="[Measures].[IgG_Effectiveness]" caption="IgG_Effectiveness" measure="1" displayFolder="" measureGroup="Dataset" count="0"/>
    <cacheHierarchy uniqueName="[Measures].[IgM_Effectiveness]" caption="IgM_Effectiveness" measure="1" displayFolder="" measureGroup="Dataset" count="0"/>
    <cacheHierarchy uniqueName="[Measures].[__XL_Count Dataset]" caption="__XL_Count Dataset" measure="1" displayFolder="" measureGroup="Dataset" count="0" hidden="1"/>
    <cacheHierarchy uniqueName="[Measures].[__No measures defined]" caption="__No measures defined" measure="1" displayFolder="" count="0" hidden="1"/>
    <cacheHierarchy uniqueName="[Measures].[Sum of Outcome]" caption="Sum of Outcome" measure="1" displayFolder="" measureGroup="Dataset" count="0" oneField="1" hidden="1">
      <fieldsUsage count="1">
        <fieldUsage x="0"/>
      </fieldsUsage>
      <extLst>
        <ext xmlns:x15="http://schemas.microsoft.com/office/spreadsheetml/2010/11/main" uri="{B97F6D7D-B522-45F9-BDA1-12C45D357490}">
          <x15:cacheHierarchy aggregatedColumn="10"/>
        </ext>
      </extLst>
    </cacheHierarchy>
    <cacheHierarchy uniqueName="[Measures].[Count of Outcome]" caption="Count of Outcome" measure="1" displayFolder="" measureGroup="Dataset" count="0" hidden="1">
      <extLst>
        <ext xmlns:x15="http://schemas.microsoft.com/office/spreadsheetml/2010/11/main" uri="{B97F6D7D-B522-45F9-BDA1-12C45D357490}">
          <x15:cacheHierarchy aggregatedColumn="10"/>
        </ext>
      </extLst>
    </cacheHierarchy>
    <cacheHierarchy uniqueName="[Measures].[Average of Outcome]" caption="Average of Outcome" measure="1" displayFolder="" measureGroup="Dataset" count="0" hidden="1">
      <extLst>
        <ext xmlns:x15="http://schemas.microsoft.com/office/spreadsheetml/2010/11/main" uri="{B97F6D7D-B522-45F9-BDA1-12C45D357490}">
          <x15:cacheHierarchy aggregatedColumn="10"/>
        </ext>
      </extLst>
    </cacheHierarchy>
    <cacheHierarchy uniqueName="[Measures].[Sum of NS1]" caption="Sum of NS1" measure="1" displayFolder="" measureGroup="Dataset" count="0" hidden="1">
      <extLst>
        <ext xmlns:x15="http://schemas.microsoft.com/office/spreadsheetml/2010/11/main" uri="{B97F6D7D-B522-45F9-BDA1-12C45D357490}">
          <x15:cacheHierarchy aggregatedColumn="3"/>
        </ext>
      </extLst>
    </cacheHierarchy>
    <cacheHierarchy uniqueName="[Measures].[Sum of IgG]" caption="Sum of IgG" measure="1" displayFolder="" measureGroup="Dataset" count="0" hidden="1">
      <extLst>
        <ext xmlns:x15="http://schemas.microsoft.com/office/spreadsheetml/2010/11/main" uri="{B97F6D7D-B522-45F9-BDA1-12C45D357490}">
          <x15:cacheHierarchy aggregatedColumn="4"/>
        </ext>
      </extLst>
    </cacheHierarchy>
    <cacheHierarchy uniqueName="[Measures].[Sum of IgM]" caption="Sum of IgM" measure="1" displayFolder="" measureGroup="Dataset"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ataset" count="0" hidden="1">
      <extLst>
        <ext xmlns:x15="http://schemas.microsoft.com/office/spreadsheetml/2010/11/main" uri="{B97F6D7D-B522-45F9-BDA1-12C45D357490}">
          <x15:cacheHierarchy aggregatedColumn="1"/>
        </ext>
      </extLst>
    </cacheHierarchy>
    <cacheHierarchy uniqueName="[Measures].[Average of Age]" caption="Average of Age" measure="1" displayFolder="" measureGroup="Dataset" count="0" hidden="1">
      <extLst>
        <ext xmlns:x15="http://schemas.microsoft.com/office/spreadsheetml/2010/11/main" uri="{B97F6D7D-B522-45F9-BDA1-12C45D357490}">
          <x15:cacheHierarchy aggregatedColumn="1"/>
        </ext>
      </extLst>
    </cacheHierarchy>
  </cacheHierarchies>
  <kpis count="0"/>
  <dimensions count="2">
    <dimension name="Dataset" uniqueName="[Dataset]" caption="Dataset"/>
    <dimension measure="1" name="Measures" uniqueName="[Measures]" caption="Measures"/>
  </dimensions>
  <measureGroups count="1">
    <measureGroup name="Dataset" caption="Datase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ehedi Hasan" refreshedDate="45691.024608680556" backgroundQuery="1" createdVersion="7" refreshedVersion="7" minRefreshableVersion="3" recordCount="0" supportSubquery="1" supportAdvancedDrill="1" xr:uid="{F8183873-3B90-480D-BCB5-BD87A337C7A2}">
  <cacheSource type="external" connectionId="3"/>
  <cacheFields count="2">
    <cacheField name="[Dataset].[Gender].[Gender]" caption="Gender" numFmtId="0" level="1">
      <sharedItems count="2">
        <s v="Female"/>
        <s v="Male"/>
      </sharedItems>
    </cacheField>
    <cacheField name="[Measures].[Sum of Outcome]" caption="Sum of Outcome" numFmtId="0" hierarchy="24" level="32767"/>
  </cacheFields>
  <cacheHierarchies count="32">
    <cacheHierarchy uniqueName="[Dataset].[Gender]" caption="Gender" attribute="1" defaultMemberUniqueName="[Dataset].[Gender].[All]" allUniqueName="[Dataset].[Gender].[All]" dimensionUniqueName="[Dataset]" displayFolder="" count="2" memberValueDatatype="130" unbalanced="0">
      <fieldsUsage count="2">
        <fieldUsage x="-1"/>
        <fieldUsage x="0"/>
      </fieldsUsage>
    </cacheHierarchy>
    <cacheHierarchy uniqueName="[Dataset].[Age]" caption="Age" attribute="1" defaultMemberUniqueName="[Dataset].[Age].[All]" allUniqueName="[Dataset].[Age].[All]" dimensionUniqueName="[Dataset]" displayFolder="" count="0" memberValueDatatype="20" unbalanced="0"/>
    <cacheHierarchy uniqueName="[Dataset].[Age Group]" caption="Age Group" attribute="1" defaultMemberUniqueName="[Dataset].[Age Group].[All]" allUniqueName="[Dataset].[Age Group].[All]" dimensionUniqueName="[Dataset]" displayFolder="" count="0" memberValueDatatype="130" unbalanced="0"/>
    <cacheHierarchy uniqueName="[Dataset].[NS1]" caption="NS1" attribute="1" defaultMemberUniqueName="[Dataset].[NS1].[All]" allUniqueName="[Dataset].[NS1].[All]" dimensionUniqueName="[Dataset]" displayFolder="" count="0" memberValueDatatype="20" unbalanced="0"/>
    <cacheHierarchy uniqueName="[Dataset].[IgG]" caption="IgG" attribute="1" defaultMemberUniqueName="[Dataset].[IgG].[All]" allUniqueName="[Dataset].[IgG].[All]" dimensionUniqueName="[Dataset]" displayFolder="" count="0" memberValueDatatype="20" unbalanced="0"/>
    <cacheHierarchy uniqueName="[Dataset].[IgM]" caption="IgM" attribute="1" defaultMemberUniqueName="[Dataset].[IgM].[All]" allUniqueName="[Dataset].[IgM].[All]" dimensionUniqueName="[Dataset]" displayFolder="" count="0" memberValueDatatype="20" unbalanced="0"/>
    <cacheHierarchy uniqueName="[Dataset].[Risk Type]" caption="Risk Type" attribute="1" defaultMemberUniqueName="[Dataset].[Risk Type].[All]" allUniqueName="[Dataset].[Risk Type].[All]" dimensionUniqueName="[Dataset]" displayFolder="" count="0" memberValueDatatype="130" unbalanced="0"/>
    <cacheHierarchy uniqueName="[Dataset].[Area]" caption="Area" attribute="1" defaultMemberUniqueName="[Dataset].[Area].[All]" allUniqueName="[Dataset].[Area].[All]" dimensionUniqueName="[Dataset]" displayFolder="" count="0" memberValueDatatype="130" unbalanced="0"/>
    <cacheHierarchy uniqueName="[Dataset].[AreaType]" caption="AreaType" attribute="1" defaultMemberUniqueName="[Dataset].[AreaType].[All]" allUniqueName="[Dataset].[AreaType].[All]" dimensionUniqueName="[Dataset]" displayFolder="" count="2" memberValueDatatype="130" unbalanced="0"/>
    <cacheHierarchy uniqueName="[Dataset].[HouseType]" caption="HouseType" attribute="1" defaultMemberUniqueName="[Dataset].[HouseType].[All]" allUniqueName="[Dataset].[HouseType].[All]" dimensionUniqueName="[Dataset]" displayFolder="" count="2" memberValueDatatype="130" unbalanced="0"/>
    <cacheHierarchy uniqueName="[Dataset].[Outcome]" caption="Outcome" attribute="1" defaultMemberUniqueName="[Dataset].[Outcome].[All]" allUniqueName="[Dataset].[Outcome].[All]" dimensionUniqueName="[Dataset]" displayFolder="" count="0" memberValueDatatype="20" unbalanced="0"/>
    <cacheHierarchy uniqueName="[Measures].[NS1_Positivity_Rate]" caption="NS1_Positivity_Rate" measure="1" displayFolder="" measureGroup="Dataset" count="0"/>
    <cacheHierarchy uniqueName="[Measures].[IgG_Positivity_Rate]" caption="IgG_Positivity_Rate" measure="1" displayFolder="" measureGroup="Dataset" count="0"/>
    <cacheHierarchy uniqueName="[Measures].[IgM_Positivity_Rate]" caption="IgM_Positivity_Rate" measure="1" displayFolder="" measureGroup="Dataset" count="0"/>
    <cacheHierarchy uniqueName="[Measures].[Dengue Positivity Rate (%)]" caption="Dengue Positivity Rate (%)" measure="1" displayFolder="" measureGroup="Dataset" count="0"/>
    <cacheHierarchy uniqueName="[Measures].[Total_Dengue_Cases]" caption="Total_Dengue_Cases" measure="1" displayFolder="" measureGroup="Dataset" count="0"/>
    <cacheHierarchy uniqueName="[Measures].[Confirmed_NS1_Positives]" caption="Confirmed_NS1_Positives" measure="1" displayFolder="" measureGroup="Dataset" count="0"/>
    <cacheHierarchy uniqueName="[Measures].[Confirmed_IgG_Positives]" caption="Confirmed_IgG_Positives" measure="1" displayFolder="" measureGroup="Dataset" count="0"/>
    <cacheHierarchy uniqueName="[Measures].[Confirmed_IgM_Positives]" caption="Confirmed_IgM_Positives" measure="1" displayFolder="" measureGroup="Dataset" count="0"/>
    <cacheHierarchy uniqueName="[Measures].[NS1_Effectiveness]" caption="NS1_Effectiveness" measure="1" displayFolder="" measureGroup="Dataset" count="0"/>
    <cacheHierarchy uniqueName="[Measures].[IgG_Effectiveness]" caption="IgG_Effectiveness" measure="1" displayFolder="" measureGroup="Dataset" count="0"/>
    <cacheHierarchy uniqueName="[Measures].[IgM_Effectiveness]" caption="IgM_Effectiveness" measure="1" displayFolder="" measureGroup="Dataset" count="0"/>
    <cacheHierarchy uniqueName="[Measures].[__XL_Count Dataset]" caption="__XL_Count Dataset" measure="1" displayFolder="" measureGroup="Dataset" count="0" hidden="1"/>
    <cacheHierarchy uniqueName="[Measures].[__No measures defined]" caption="__No measures defined" measure="1" displayFolder="" count="0" hidden="1"/>
    <cacheHierarchy uniqueName="[Measures].[Sum of Outcome]" caption="Sum of Outcome" measure="1" displayFolder="" measureGroup="Dataset" count="0" oneField="1" hidden="1">
      <fieldsUsage count="1">
        <fieldUsage x="1"/>
      </fieldsUsage>
      <extLst>
        <ext xmlns:x15="http://schemas.microsoft.com/office/spreadsheetml/2010/11/main" uri="{B97F6D7D-B522-45F9-BDA1-12C45D357490}">
          <x15:cacheHierarchy aggregatedColumn="10"/>
        </ext>
      </extLst>
    </cacheHierarchy>
    <cacheHierarchy uniqueName="[Measures].[Count of Outcome]" caption="Count of Outcome" measure="1" displayFolder="" measureGroup="Dataset" count="0" hidden="1">
      <extLst>
        <ext xmlns:x15="http://schemas.microsoft.com/office/spreadsheetml/2010/11/main" uri="{B97F6D7D-B522-45F9-BDA1-12C45D357490}">
          <x15:cacheHierarchy aggregatedColumn="10"/>
        </ext>
      </extLst>
    </cacheHierarchy>
    <cacheHierarchy uniqueName="[Measures].[Average of Outcome]" caption="Average of Outcome" measure="1" displayFolder="" measureGroup="Dataset" count="0" hidden="1">
      <extLst>
        <ext xmlns:x15="http://schemas.microsoft.com/office/spreadsheetml/2010/11/main" uri="{B97F6D7D-B522-45F9-BDA1-12C45D357490}">
          <x15:cacheHierarchy aggregatedColumn="10"/>
        </ext>
      </extLst>
    </cacheHierarchy>
    <cacheHierarchy uniqueName="[Measures].[Sum of NS1]" caption="Sum of NS1" measure="1" displayFolder="" measureGroup="Dataset" count="0" hidden="1">
      <extLst>
        <ext xmlns:x15="http://schemas.microsoft.com/office/spreadsheetml/2010/11/main" uri="{B97F6D7D-B522-45F9-BDA1-12C45D357490}">
          <x15:cacheHierarchy aggregatedColumn="3"/>
        </ext>
      </extLst>
    </cacheHierarchy>
    <cacheHierarchy uniqueName="[Measures].[Sum of IgG]" caption="Sum of IgG" measure="1" displayFolder="" measureGroup="Dataset" count="0" hidden="1">
      <extLst>
        <ext xmlns:x15="http://schemas.microsoft.com/office/spreadsheetml/2010/11/main" uri="{B97F6D7D-B522-45F9-BDA1-12C45D357490}">
          <x15:cacheHierarchy aggregatedColumn="4"/>
        </ext>
      </extLst>
    </cacheHierarchy>
    <cacheHierarchy uniqueName="[Measures].[Sum of IgM]" caption="Sum of IgM" measure="1" displayFolder="" measureGroup="Dataset"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ataset" count="0" hidden="1">
      <extLst>
        <ext xmlns:x15="http://schemas.microsoft.com/office/spreadsheetml/2010/11/main" uri="{B97F6D7D-B522-45F9-BDA1-12C45D357490}">
          <x15:cacheHierarchy aggregatedColumn="1"/>
        </ext>
      </extLst>
    </cacheHierarchy>
    <cacheHierarchy uniqueName="[Measures].[Average of Age]" caption="Average of Age" measure="1" displayFolder="" measureGroup="Dataset" count="0" hidden="1">
      <extLst>
        <ext xmlns:x15="http://schemas.microsoft.com/office/spreadsheetml/2010/11/main" uri="{B97F6D7D-B522-45F9-BDA1-12C45D357490}">
          <x15:cacheHierarchy aggregatedColumn="1"/>
        </ext>
      </extLst>
    </cacheHierarchy>
  </cacheHierarchies>
  <kpis count="0"/>
  <dimensions count="2">
    <dimension name="Dataset" uniqueName="[Dataset]" caption="Dataset"/>
    <dimension measure="1" name="Measures" uniqueName="[Measures]" caption="Measures"/>
  </dimensions>
  <measureGroups count="1">
    <measureGroup name="Dataset" caption="Datase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ehedi Hasan" refreshedDate="45691.02460902778" backgroundQuery="1" createdVersion="7" refreshedVersion="7" minRefreshableVersion="3" recordCount="0" supportSubquery="1" supportAdvancedDrill="1" xr:uid="{3C079B66-1B0B-4990-81D0-CB2BC2BF0CC9}">
  <cacheSource type="external" connectionId="3"/>
  <cacheFields count="3">
    <cacheField name="[Measures].[Sum of Outcome]" caption="Sum of Outcome" numFmtId="0" hierarchy="24" level="32767"/>
    <cacheField name="[Dataset].[Area].[Area]" caption="Area" numFmtId="0" hierarchy="7" level="1">
      <sharedItems count="36">
        <s v="Adabor"/>
        <s v="Badda"/>
        <s v="Banasree"/>
        <s v="Bangshal"/>
        <s v="Biman Bandar"/>
        <s v="Bosila"/>
        <s v="Cantonment"/>
        <s v="Chawkbazar"/>
        <s v="Demra"/>
        <s v="Dhanmondi"/>
        <s v="Gendaria"/>
        <s v="Gulshan"/>
        <s v="Hazaribagh"/>
        <s v="Jatrabari"/>
        <s v="Kadamtali"/>
        <s v="Kafrul"/>
        <s v="Kalabagan"/>
        <s v="Kamrangirchar"/>
        <s v="Keraniganj"/>
        <s v="Khilgaon"/>
        <s v="Khilkhet"/>
        <s v="Lalbagh"/>
        <s v="Mirpur"/>
        <s v="Mohammadpur"/>
        <s v="Motijheel"/>
        <s v="New Market"/>
        <s v="Pallabi"/>
        <s v="Paltan"/>
        <s v="Ramna"/>
        <s v="Rampura"/>
        <s v="Sabujbagh"/>
        <s v="Shahbagh"/>
        <s v="Sher-e-Bangla Nagar"/>
        <s v="Shyampur"/>
        <s v="Sutrapur"/>
        <s v="Tejgaon"/>
      </sharedItems>
    </cacheField>
    <cacheField name="[Dataset].[Gender].[Gender]" caption="Gender" numFmtId="0" level="1">
      <sharedItems containsSemiMixedTypes="0" containsNonDate="0" containsString="0"/>
    </cacheField>
  </cacheFields>
  <cacheHierarchies count="32">
    <cacheHierarchy uniqueName="[Dataset].[Gender]" caption="Gender" attribute="1" defaultMemberUniqueName="[Dataset].[Gender].[All]" allUniqueName="[Dataset].[Gender].[All]" dimensionUniqueName="[Dataset]" displayFolder="" count="2" memberValueDatatype="130" unbalanced="0">
      <fieldsUsage count="2">
        <fieldUsage x="-1"/>
        <fieldUsage x="2"/>
      </fieldsUsage>
    </cacheHierarchy>
    <cacheHierarchy uniqueName="[Dataset].[Age]" caption="Age" attribute="1" defaultMemberUniqueName="[Dataset].[Age].[All]" allUniqueName="[Dataset].[Age].[All]" dimensionUniqueName="[Dataset]" displayFolder="" count="0" memberValueDatatype="20" unbalanced="0"/>
    <cacheHierarchy uniqueName="[Dataset].[Age Group]" caption="Age Group" attribute="1" defaultMemberUniqueName="[Dataset].[Age Group].[All]" allUniqueName="[Dataset].[Age Group].[All]" dimensionUniqueName="[Dataset]" displayFolder="" count="0" memberValueDatatype="130" unbalanced="0"/>
    <cacheHierarchy uniqueName="[Dataset].[NS1]" caption="NS1" attribute="1" defaultMemberUniqueName="[Dataset].[NS1].[All]" allUniqueName="[Dataset].[NS1].[All]" dimensionUniqueName="[Dataset]" displayFolder="" count="0" memberValueDatatype="20" unbalanced="0"/>
    <cacheHierarchy uniqueName="[Dataset].[IgG]" caption="IgG" attribute="1" defaultMemberUniqueName="[Dataset].[IgG].[All]" allUniqueName="[Dataset].[IgG].[All]" dimensionUniqueName="[Dataset]" displayFolder="" count="0" memberValueDatatype="20" unbalanced="0"/>
    <cacheHierarchy uniqueName="[Dataset].[IgM]" caption="IgM" attribute="1" defaultMemberUniqueName="[Dataset].[IgM].[All]" allUniqueName="[Dataset].[IgM].[All]" dimensionUniqueName="[Dataset]" displayFolder="" count="0" memberValueDatatype="20" unbalanced="0"/>
    <cacheHierarchy uniqueName="[Dataset].[Risk Type]" caption="Risk Type" attribute="1" defaultMemberUniqueName="[Dataset].[Risk Type].[All]" allUniqueName="[Dataset].[Risk Type].[All]" dimensionUniqueName="[Dataset]" displayFolder="" count="0" memberValueDatatype="130" unbalanced="0"/>
    <cacheHierarchy uniqueName="[Dataset].[Area]" caption="Area" attribute="1" defaultMemberUniqueName="[Dataset].[Area].[All]" allUniqueName="[Dataset].[Area].[All]" dimensionUniqueName="[Dataset]" displayFolder="" count="2" memberValueDatatype="130" unbalanced="0">
      <fieldsUsage count="2">
        <fieldUsage x="-1"/>
        <fieldUsage x="1"/>
      </fieldsUsage>
    </cacheHierarchy>
    <cacheHierarchy uniqueName="[Dataset].[AreaType]" caption="AreaType" attribute="1" defaultMemberUniqueName="[Dataset].[AreaType].[All]" allUniqueName="[Dataset].[AreaType].[All]" dimensionUniqueName="[Dataset]" displayFolder="" count="2" memberValueDatatype="130" unbalanced="0"/>
    <cacheHierarchy uniqueName="[Dataset].[HouseType]" caption="HouseType" attribute="1" defaultMemberUniqueName="[Dataset].[HouseType].[All]" allUniqueName="[Dataset].[HouseType].[All]" dimensionUniqueName="[Dataset]" displayFolder="" count="2" memberValueDatatype="130" unbalanced="0"/>
    <cacheHierarchy uniqueName="[Dataset].[Outcome]" caption="Outcome" attribute="1" defaultMemberUniqueName="[Dataset].[Outcome].[All]" allUniqueName="[Dataset].[Outcome].[All]" dimensionUniqueName="[Dataset]" displayFolder="" count="0" memberValueDatatype="20" unbalanced="0"/>
    <cacheHierarchy uniqueName="[Measures].[NS1_Positivity_Rate]" caption="NS1_Positivity_Rate" measure="1" displayFolder="" measureGroup="Dataset" count="0"/>
    <cacheHierarchy uniqueName="[Measures].[IgG_Positivity_Rate]" caption="IgG_Positivity_Rate" measure="1" displayFolder="" measureGroup="Dataset" count="0"/>
    <cacheHierarchy uniqueName="[Measures].[IgM_Positivity_Rate]" caption="IgM_Positivity_Rate" measure="1" displayFolder="" measureGroup="Dataset" count="0"/>
    <cacheHierarchy uniqueName="[Measures].[Dengue Positivity Rate (%)]" caption="Dengue Positivity Rate (%)" measure="1" displayFolder="" measureGroup="Dataset" count="0"/>
    <cacheHierarchy uniqueName="[Measures].[Total_Dengue_Cases]" caption="Total_Dengue_Cases" measure="1" displayFolder="" measureGroup="Dataset" count="0"/>
    <cacheHierarchy uniqueName="[Measures].[Confirmed_NS1_Positives]" caption="Confirmed_NS1_Positives" measure="1" displayFolder="" measureGroup="Dataset" count="0"/>
    <cacheHierarchy uniqueName="[Measures].[Confirmed_IgG_Positives]" caption="Confirmed_IgG_Positives" measure="1" displayFolder="" measureGroup="Dataset" count="0"/>
    <cacheHierarchy uniqueName="[Measures].[Confirmed_IgM_Positives]" caption="Confirmed_IgM_Positives" measure="1" displayFolder="" measureGroup="Dataset" count="0"/>
    <cacheHierarchy uniqueName="[Measures].[NS1_Effectiveness]" caption="NS1_Effectiveness" measure="1" displayFolder="" measureGroup="Dataset" count="0"/>
    <cacheHierarchy uniqueName="[Measures].[IgG_Effectiveness]" caption="IgG_Effectiveness" measure="1" displayFolder="" measureGroup="Dataset" count="0"/>
    <cacheHierarchy uniqueName="[Measures].[IgM_Effectiveness]" caption="IgM_Effectiveness" measure="1" displayFolder="" measureGroup="Dataset" count="0"/>
    <cacheHierarchy uniqueName="[Measures].[__XL_Count Dataset]" caption="__XL_Count Dataset" measure="1" displayFolder="" measureGroup="Dataset" count="0" hidden="1"/>
    <cacheHierarchy uniqueName="[Measures].[__No measures defined]" caption="__No measures defined" measure="1" displayFolder="" count="0" hidden="1"/>
    <cacheHierarchy uniqueName="[Measures].[Sum of Outcome]" caption="Sum of Outcome" measure="1" displayFolder="" measureGroup="Dataset" count="0" oneField="1" hidden="1">
      <fieldsUsage count="1">
        <fieldUsage x="0"/>
      </fieldsUsage>
      <extLst>
        <ext xmlns:x15="http://schemas.microsoft.com/office/spreadsheetml/2010/11/main" uri="{B97F6D7D-B522-45F9-BDA1-12C45D357490}">
          <x15:cacheHierarchy aggregatedColumn="10"/>
        </ext>
      </extLst>
    </cacheHierarchy>
    <cacheHierarchy uniqueName="[Measures].[Count of Outcome]" caption="Count of Outcome" measure="1" displayFolder="" measureGroup="Dataset" count="0" hidden="1">
      <extLst>
        <ext xmlns:x15="http://schemas.microsoft.com/office/spreadsheetml/2010/11/main" uri="{B97F6D7D-B522-45F9-BDA1-12C45D357490}">
          <x15:cacheHierarchy aggregatedColumn="10"/>
        </ext>
      </extLst>
    </cacheHierarchy>
    <cacheHierarchy uniqueName="[Measures].[Average of Outcome]" caption="Average of Outcome" measure="1" displayFolder="" measureGroup="Dataset" count="0" hidden="1">
      <extLst>
        <ext xmlns:x15="http://schemas.microsoft.com/office/spreadsheetml/2010/11/main" uri="{B97F6D7D-B522-45F9-BDA1-12C45D357490}">
          <x15:cacheHierarchy aggregatedColumn="10"/>
        </ext>
      </extLst>
    </cacheHierarchy>
    <cacheHierarchy uniqueName="[Measures].[Sum of NS1]" caption="Sum of NS1" measure="1" displayFolder="" measureGroup="Dataset" count="0" hidden="1">
      <extLst>
        <ext xmlns:x15="http://schemas.microsoft.com/office/spreadsheetml/2010/11/main" uri="{B97F6D7D-B522-45F9-BDA1-12C45D357490}">
          <x15:cacheHierarchy aggregatedColumn="3"/>
        </ext>
      </extLst>
    </cacheHierarchy>
    <cacheHierarchy uniqueName="[Measures].[Sum of IgG]" caption="Sum of IgG" measure="1" displayFolder="" measureGroup="Dataset" count="0" hidden="1">
      <extLst>
        <ext xmlns:x15="http://schemas.microsoft.com/office/spreadsheetml/2010/11/main" uri="{B97F6D7D-B522-45F9-BDA1-12C45D357490}">
          <x15:cacheHierarchy aggregatedColumn="4"/>
        </ext>
      </extLst>
    </cacheHierarchy>
    <cacheHierarchy uniqueName="[Measures].[Sum of IgM]" caption="Sum of IgM" measure="1" displayFolder="" measureGroup="Dataset"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ataset" count="0" hidden="1">
      <extLst>
        <ext xmlns:x15="http://schemas.microsoft.com/office/spreadsheetml/2010/11/main" uri="{B97F6D7D-B522-45F9-BDA1-12C45D357490}">
          <x15:cacheHierarchy aggregatedColumn="1"/>
        </ext>
      </extLst>
    </cacheHierarchy>
    <cacheHierarchy uniqueName="[Measures].[Average of Age]" caption="Average of Age" measure="1" displayFolder="" measureGroup="Dataset" count="0" hidden="1">
      <extLst>
        <ext xmlns:x15="http://schemas.microsoft.com/office/spreadsheetml/2010/11/main" uri="{B97F6D7D-B522-45F9-BDA1-12C45D357490}">
          <x15:cacheHierarchy aggregatedColumn="1"/>
        </ext>
      </extLst>
    </cacheHierarchy>
  </cacheHierarchies>
  <kpis count="0"/>
  <dimensions count="2">
    <dimension name="Dataset" uniqueName="[Dataset]" caption="Dataset"/>
    <dimension measure="1" name="Measures" uniqueName="[Measures]" caption="Measures"/>
  </dimensions>
  <measureGroups count="1">
    <measureGroup name="Dataset" caption="Datase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ehedi Hasan" refreshedDate="45691.024609375003" backgroundQuery="1" createdVersion="7" refreshedVersion="7" minRefreshableVersion="3" recordCount="0" supportSubquery="1" supportAdvancedDrill="1" xr:uid="{950FA1EB-F053-422A-A1A6-283F5F3702CB}">
  <cacheSource type="external" connectionId="3"/>
  <cacheFields count="3">
    <cacheField name="[Dataset].[HouseType].[HouseType]" caption="HouseType" numFmtId="0" hierarchy="9" level="1">
      <sharedItems count="3">
        <s v="Building"/>
        <s v="Other"/>
        <s v="Tinshed"/>
      </sharedItems>
    </cacheField>
    <cacheField name="[Measures].[Sum of Outcome]" caption="Sum of Outcome" numFmtId="0" hierarchy="24" level="32767"/>
    <cacheField name="[Dataset].[Gender].[Gender]" caption="Gender" numFmtId="0" level="1">
      <sharedItems containsSemiMixedTypes="0" containsNonDate="0" containsString="0"/>
    </cacheField>
  </cacheFields>
  <cacheHierarchies count="32">
    <cacheHierarchy uniqueName="[Dataset].[Gender]" caption="Gender" attribute="1" defaultMemberUniqueName="[Dataset].[Gender].[All]" allUniqueName="[Dataset].[Gender].[All]" dimensionUniqueName="[Dataset]" displayFolder="" count="2" memberValueDatatype="130" unbalanced="0">
      <fieldsUsage count="2">
        <fieldUsage x="-1"/>
        <fieldUsage x="2"/>
      </fieldsUsage>
    </cacheHierarchy>
    <cacheHierarchy uniqueName="[Dataset].[Age]" caption="Age" attribute="1" defaultMemberUniqueName="[Dataset].[Age].[All]" allUniqueName="[Dataset].[Age].[All]" dimensionUniqueName="[Dataset]" displayFolder="" count="0" memberValueDatatype="20" unbalanced="0"/>
    <cacheHierarchy uniqueName="[Dataset].[Age Group]" caption="Age Group" attribute="1" defaultMemberUniqueName="[Dataset].[Age Group].[All]" allUniqueName="[Dataset].[Age Group].[All]" dimensionUniqueName="[Dataset]" displayFolder="" count="0" memberValueDatatype="130" unbalanced="0"/>
    <cacheHierarchy uniqueName="[Dataset].[NS1]" caption="NS1" attribute="1" defaultMemberUniqueName="[Dataset].[NS1].[All]" allUniqueName="[Dataset].[NS1].[All]" dimensionUniqueName="[Dataset]" displayFolder="" count="0" memberValueDatatype="20" unbalanced="0"/>
    <cacheHierarchy uniqueName="[Dataset].[IgG]" caption="IgG" attribute="1" defaultMemberUniqueName="[Dataset].[IgG].[All]" allUniqueName="[Dataset].[IgG].[All]" dimensionUniqueName="[Dataset]" displayFolder="" count="0" memberValueDatatype="20" unbalanced="0"/>
    <cacheHierarchy uniqueName="[Dataset].[IgM]" caption="IgM" attribute="1" defaultMemberUniqueName="[Dataset].[IgM].[All]" allUniqueName="[Dataset].[IgM].[All]" dimensionUniqueName="[Dataset]" displayFolder="" count="0" memberValueDatatype="20" unbalanced="0"/>
    <cacheHierarchy uniqueName="[Dataset].[Risk Type]" caption="Risk Type" attribute="1" defaultMemberUniqueName="[Dataset].[Risk Type].[All]" allUniqueName="[Dataset].[Risk Type].[All]" dimensionUniqueName="[Dataset]" displayFolder="" count="0" memberValueDatatype="130" unbalanced="0"/>
    <cacheHierarchy uniqueName="[Dataset].[Area]" caption="Area" attribute="1" defaultMemberUniqueName="[Dataset].[Area].[All]" allUniqueName="[Dataset].[Area].[All]" dimensionUniqueName="[Dataset]" displayFolder="" count="0" memberValueDatatype="130" unbalanced="0"/>
    <cacheHierarchy uniqueName="[Dataset].[AreaType]" caption="AreaType" attribute="1" defaultMemberUniqueName="[Dataset].[AreaType].[All]" allUniqueName="[Dataset].[AreaType].[All]" dimensionUniqueName="[Dataset]" displayFolder="" count="2" memberValueDatatype="130" unbalanced="0"/>
    <cacheHierarchy uniqueName="[Dataset].[HouseType]" caption="HouseType" attribute="1" defaultMemberUniqueName="[Dataset].[HouseType].[All]" allUniqueName="[Dataset].[HouseType].[All]" dimensionUniqueName="[Dataset]" displayFolder="" count="2" memberValueDatatype="130" unbalanced="0">
      <fieldsUsage count="2">
        <fieldUsage x="-1"/>
        <fieldUsage x="0"/>
      </fieldsUsage>
    </cacheHierarchy>
    <cacheHierarchy uniqueName="[Dataset].[Outcome]" caption="Outcome" attribute="1" defaultMemberUniqueName="[Dataset].[Outcome].[All]" allUniqueName="[Dataset].[Outcome].[All]" dimensionUniqueName="[Dataset]" displayFolder="" count="0" memberValueDatatype="20" unbalanced="0"/>
    <cacheHierarchy uniqueName="[Measures].[NS1_Positivity_Rate]" caption="NS1_Positivity_Rate" measure="1" displayFolder="" measureGroup="Dataset" count="0"/>
    <cacheHierarchy uniqueName="[Measures].[IgG_Positivity_Rate]" caption="IgG_Positivity_Rate" measure="1" displayFolder="" measureGroup="Dataset" count="0"/>
    <cacheHierarchy uniqueName="[Measures].[IgM_Positivity_Rate]" caption="IgM_Positivity_Rate" measure="1" displayFolder="" measureGroup="Dataset" count="0"/>
    <cacheHierarchy uniqueName="[Measures].[Dengue Positivity Rate (%)]" caption="Dengue Positivity Rate (%)" measure="1" displayFolder="" measureGroup="Dataset" count="0"/>
    <cacheHierarchy uniqueName="[Measures].[Total_Dengue_Cases]" caption="Total_Dengue_Cases" measure="1" displayFolder="" measureGroup="Dataset" count="0"/>
    <cacheHierarchy uniqueName="[Measures].[Confirmed_NS1_Positives]" caption="Confirmed_NS1_Positives" measure="1" displayFolder="" measureGroup="Dataset" count="0"/>
    <cacheHierarchy uniqueName="[Measures].[Confirmed_IgG_Positives]" caption="Confirmed_IgG_Positives" measure="1" displayFolder="" measureGroup="Dataset" count="0"/>
    <cacheHierarchy uniqueName="[Measures].[Confirmed_IgM_Positives]" caption="Confirmed_IgM_Positives" measure="1" displayFolder="" measureGroup="Dataset" count="0"/>
    <cacheHierarchy uniqueName="[Measures].[NS1_Effectiveness]" caption="NS1_Effectiveness" measure="1" displayFolder="" measureGroup="Dataset" count="0"/>
    <cacheHierarchy uniqueName="[Measures].[IgG_Effectiveness]" caption="IgG_Effectiveness" measure="1" displayFolder="" measureGroup="Dataset" count="0"/>
    <cacheHierarchy uniqueName="[Measures].[IgM_Effectiveness]" caption="IgM_Effectiveness" measure="1" displayFolder="" measureGroup="Dataset" count="0"/>
    <cacheHierarchy uniqueName="[Measures].[__XL_Count Dataset]" caption="__XL_Count Dataset" measure="1" displayFolder="" measureGroup="Dataset" count="0" hidden="1"/>
    <cacheHierarchy uniqueName="[Measures].[__No measures defined]" caption="__No measures defined" measure="1" displayFolder="" count="0" hidden="1"/>
    <cacheHierarchy uniqueName="[Measures].[Sum of Outcome]" caption="Sum of Outcome" measure="1" displayFolder="" measureGroup="Dataset" count="0" oneField="1" hidden="1">
      <fieldsUsage count="1">
        <fieldUsage x="1"/>
      </fieldsUsage>
      <extLst>
        <ext xmlns:x15="http://schemas.microsoft.com/office/spreadsheetml/2010/11/main" uri="{B97F6D7D-B522-45F9-BDA1-12C45D357490}">
          <x15:cacheHierarchy aggregatedColumn="10"/>
        </ext>
      </extLst>
    </cacheHierarchy>
    <cacheHierarchy uniqueName="[Measures].[Count of Outcome]" caption="Count of Outcome" measure="1" displayFolder="" measureGroup="Dataset" count="0" hidden="1">
      <extLst>
        <ext xmlns:x15="http://schemas.microsoft.com/office/spreadsheetml/2010/11/main" uri="{B97F6D7D-B522-45F9-BDA1-12C45D357490}">
          <x15:cacheHierarchy aggregatedColumn="10"/>
        </ext>
      </extLst>
    </cacheHierarchy>
    <cacheHierarchy uniqueName="[Measures].[Average of Outcome]" caption="Average of Outcome" measure="1" displayFolder="" measureGroup="Dataset" count="0" hidden="1">
      <extLst>
        <ext xmlns:x15="http://schemas.microsoft.com/office/spreadsheetml/2010/11/main" uri="{B97F6D7D-B522-45F9-BDA1-12C45D357490}">
          <x15:cacheHierarchy aggregatedColumn="10"/>
        </ext>
      </extLst>
    </cacheHierarchy>
    <cacheHierarchy uniqueName="[Measures].[Sum of NS1]" caption="Sum of NS1" measure="1" displayFolder="" measureGroup="Dataset" count="0" hidden="1">
      <extLst>
        <ext xmlns:x15="http://schemas.microsoft.com/office/spreadsheetml/2010/11/main" uri="{B97F6D7D-B522-45F9-BDA1-12C45D357490}">
          <x15:cacheHierarchy aggregatedColumn="3"/>
        </ext>
      </extLst>
    </cacheHierarchy>
    <cacheHierarchy uniqueName="[Measures].[Sum of IgG]" caption="Sum of IgG" measure="1" displayFolder="" measureGroup="Dataset" count="0" hidden="1">
      <extLst>
        <ext xmlns:x15="http://schemas.microsoft.com/office/spreadsheetml/2010/11/main" uri="{B97F6D7D-B522-45F9-BDA1-12C45D357490}">
          <x15:cacheHierarchy aggregatedColumn="4"/>
        </ext>
      </extLst>
    </cacheHierarchy>
    <cacheHierarchy uniqueName="[Measures].[Sum of IgM]" caption="Sum of IgM" measure="1" displayFolder="" measureGroup="Dataset"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ataset" count="0" hidden="1">
      <extLst>
        <ext xmlns:x15="http://schemas.microsoft.com/office/spreadsheetml/2010/11/main" uri="{B97F6D7D-B522-45F9-BDA1-12C45D357490}">
          <x15:cacheHierarchy aggregatedColumn="1"/>
        </ext>
      </extLst>
    </cacheHierarchy>
    <cacheHierarchy uniqueName="[Measures].[Average of Age]" caption="Average of Age" measure="1" displayFolder="" measureGroup="Dataset" count="0" hidden="1">
      <extLst>
        <ext xmlns:x15="http://schemas.microsoft.com/office/spreadsheetml/2010/11/main" uri="{B97F6D7D-B522-45F9-BDA1-12C45D357490}">
          <x15:cacheHierarchy aggregatedColumn="1"/>
        </ext>
      </extLst>
    </cacheHierarchy>
  </cacheHierarchies>
  <kpis count="0"/>
  <dimensions count="2">
    <dimension name="Dataset" uniqueName="[Dataset]" caption="Dataset"/>
    <dimension measure="1" name="Measures" uniqueName="[Measures]" caption="Measures"/>
  </dimensions>
  <measureGroups count="1">
    <measureGroup name="Dataset" caption="Datase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ehedi Hasan" refreshedDate="45691.024609722219" backgroundQuery="1" createdVersion="7" refreshedVersion="7" minRefreshableVersion="3" recordCount="0" supportSubquery="1" supportAdvancedDrill="1" xr:uid="{76E2340C-25FB-4804-B15C-12A2BFA57623}">
  <cacheSource type="external" connectionId="3"/>
  <cacheFields count="3">
    <cacheField name="[Measures].[Sum of Outcome]" caption="Sum of Outcome" numFmtId="0" hierarchy="24" level="32767"/>
    <cacheField name="[Dataset].[AreaType].[AreaType]" caption="AreaType" numFmtId="0" hierarchy="8" level="1">
      <sharedItems count="2">
        <s v="Developed"/>
        <s v="Undeveloped"/>
      </sharedItems>
    </cacheField>
    <cacheField name="[Dataset].[Gender].[Gender]" caption="Gender" numFmtId="0" level="1">
      <sharedItems containsSemiMixedTypes="0" containsNonDate="0" containsString="0"/>
    </cacheField>
  </cacheFields>
  <cacheHierarchies count="32">
    <cacheHierarchy uniqueName="[Dataset].[Gender]" caption="Gender" attribute="1" defaultMemberUniqueName="[Dataset].[Gender].[All]" allUniqueName="[Dataset].[Gender].[All]" dimensionUniqueName="[Dataset]" displayFolder="" count="2" memberValueDatatype="130" unbalanced="0">
      <fieldsUsage count="2">
        <fieldUsage x="-1"/>
        <fieldUsage x="2"/>
      </fieldsUsage>
    </cacheHierarchy>
    <cacheHierarchy uniqueName="[Dataset].[Age]" caption="Age" attribute="1" defaultMemberUniqueName="[Dataset].[Age].[All]" allUniqueName="[Dataset].[Age].[All]" dimensionUniqueName="[Dataset]" displayFolder="" count="0" memberValueDatatype="20" unbalanced="0"/>
    <cacheHierarchy uniqueName="[Dataset].[Age Group]" caption="Age Group" attribute="1" defaultMemberUniqueName="[Dataset].[Age Group].[All]" allUniqueName="[Dataset].[Age Group].[All]" dimensionUniqueName="[Dataset]" displayFolder="" count="0" memberValueDatatype="130" unbalanced="0"/>
    <cacheHierarchy uniqueName="[Dataset].[NS1]" caption="NS1" attribute="1" defaultMemberUniqueName="[Dataset].[NS1].[All]" allUniqueName="[Dataset].[NS1].[All]" dimensionUniqueName="[Dataset]" displayFolder="" count="0" memberValueDatatype="20" unbalanced="0"/>
    <cacheHierarchy uniqueName="[Dataset].[IgG]" caption="IgG" attribute="1" defaultMemberUniqueName="[Dataset].[IgG].[All]" allUniqueName="[Dataset].[IgG].[All]" dimensionUniqueName="[Dataset]" displayFolder="" count="0" memberValueDatatype="20" unbalanced="0"/>
    <cacheHierarchy uniqueName="[Dataset].[IgM]" caption="IgM" attribute="1" defaultMemberUniqueName="[Dataset].[IgM].[All]" allUniqueName="[Dataset].[IgM].[All]" dimensionUniqueName="[Dataset]" displayFolder="" count="0" memberValueDatatype="20" unbalanced="0"/>
    <cacheHierarchy uniqueName="[Dataset].[Risk Type]" caption="Risk Type" attribute="1" defaultMemberUniqueName="[Dataset].[Risk Type].[All]" allUniqueName="[Dataset].[Risk Type].[All]" dimensionUniqueName="[Dataset]" displayFolder="" count="0" memberValueDatatype="130" unbalanced="0"/>
    <cacheHierarchy uniqueName="[Dataset].[Area]" caption="Area" attribute="1" defaultMemberUniqueName="[Dataset].[Area].[All]" allUniqueName="[Dataset].[Area].[All]" dimensionUniqueName="[Dataset]" displayFolder="" count="0" memberValueDatatype="130" unbalanced="0"/>
    <cacheHierarchy uniqueName="[Dataset].[AreaType]" caption="AreaType" attribute="1" defaultMemberUniqueName="[Dataset].[AreaType].[All]" allUniqueName="[Dataset].[AreaType].[All]" dimensionUniqueName="[Dataset]" displayFolder="" count="2" memberValueDatatype="130" unbalanced="0">
      <fieldsUsage count="2">
        <fieldUsage x="-1"/>
        <fieldUsage x="1"/>
      </fieldsUsage>
    </cacheHierarchy>
    <cacheHierarchy uniqueName="[Dataset].[HouseType]" caption="HouseType" attribute="1" defaultMemberUniqueName="[Dataset].[HouseType].[All]" allUniqueName="[Dataset].[HouseType].[All]" dimensionUniqueName="[Dataset]" displayFolder="" count="2" memberValueDatatype="130" unbalanced="0"/>
    <cacheHierarchy uniqueName="[Dataset].[Outcome]" caption="Outcome" attribute="1" defaultMemberUniqueName="[Dataset].[Outcome].[All]" allUniqueName="[Dataset].[Outcome].[All]" dimensionUniqueName="[Dataset]" displayFolder="" count="0" memberValueDatatype="20" unbalanced="0"/>
    <cacheHierarchy uniqueName="[Measures].[NS1_Positivity_Rate]" caption="NS1_Positivity_Rate" measure="1" displayFolder="" measureGroup="Dataset" count="0"/>
    <cacheHierarchy uniqueName="[Measures].[IgG_Positivity_Rate]" caption="IgG_Positivity_Rate" measure="1" displayFolder="" measureGroup="Dataset" count="0"/>
    <cacheHierarchy uniqueName="[Measures].[IgM_Positivity_Rate]" caption="IgM_Positivity_Rate" measure="1" displayFolder="" measureGroup="Dataset" count="0"/>
    <cacheHierarchy uniqueName="[Measures].[Dengue Positivity Rate (%)]" caption="Dengue Positivity Rate (%)" measure="1" displayFolder="" measureGroup="Dataset" count="0"/>
    <cacheHierarchy uniqueName="[Measures].[Total_Dengue_Cases]" caption="Total_Dengue_Cases" measure="1" displayFolder="" measureGroup="Dataset" count="0"/>
    <cacheHierarchy uniqueName="[Measures].[Confirmed_NS1_Positives]" caption="Confirmed_NS1_Positives" measure="1" displayFolder="" measureGroup="Dataset" count="0"/>
    <cacheHierarchy uniqueName="[Measures].[Confirmed_IgG_Positives]" caption="Confirmed_IgG_Positives" measure="1" displayFolder="" measureGroup="Dataset" count="0"/>
    <cacheHierarchy uniqueName="[Measures].[Confirmed_IgM_Positives]" caption="Confirmed_IgM_Positives" measure="1" displayFolder="" measureGroup="Dataset" count="0"/>
    <cacheHierarchy uniqueName="[Measures].[NS1_Effectiveness]" caption="NS1_Effectiveness" measure="1" displayFolder="" measureGroup="Dataset" count="0"/>
    <cacheHierarchy uniqueName="[Measures].[IgG_Effectiveness]" caption="IgG_Effectiveness" measure="1" displayFolder="" measureGroup="Dataset" count="0"/>
    <cacheHierarchy uniqueName="[Measures].[IgM_Effectiveness]" caption="IgM_Effectiveness" measure="1" displayFolder="" measureGroup="Dataset" count="0"/>
    <cacheHierarchy uniqueName="[Measures].[__XL_Count Dataset]" caption="__XL_Count Dataset" measure="1" displayFolder="" measureGroup="Dataset" count="0" hidden="1"/>
    <cacheHierarchy uniqueName="[Measures].[__No measures defined]" caption="__No measures defined" measure="1" displayFolder="" count="0" hidden="1"/>
    <cacheHierarchy uniqueName="[Measures].[Sum of Outcome]" caption="Sum of Outcome" measure="1" displayFolder="" measureGroup="Dataset" count="0" oneField="1" hidden="1">
      <fieldsUsage count="1">
        <fieldUsage x="0"/>
      </fieldsUsage>
      <extLst>
        <ext xmlns:x15="http://schemas.microsoft.com/office/spreadsheetml/2010/11/main" uri="{B97F6D7D-B522-45F9-BDA1-12C45D357490}">
          <x15:cacheHierarchy aggregatedColumn="10"/>
        </ext>
      </extLst>
    </cacheHierarchy>
    <cacheHierarchy uniqueName="[Measures].[Count of Outcome]" caption="Count of Outcome" measure="1" displayFolder="" measureGroup="Dataset" count="0" hidden="1">
      <extLst>
        <ext xmlns:x15="http://schemas.microsoft.com/office/spreadsheetml/2010/11/main" uri="{B97F6D7D-B522-45F9-BDA1-12C45D357490}">
          <x15:cacheHierarchy aggregatedColumn="10"/>
        </ext>
      </extLst>
    </cacheHierarchy>
    <cacheHierarchy uniqueName="[Measures].[Average of Outcome]" caption="Average of Outcome" measure="1" displayFolder="" measureGroup="Dataset" count="0" hidden="1">
      <extLst>
        <ext xmlns:x15="http://schemas.microsoft.com/office/spreadsheetml/2010/11/main" uri="{B97F6D7D-B522-45F9-BDA1-12C45D357490}">
          <x15:cacheHierarchy aggregatedColumn="10"/>
        </ext>
      </extLst>
    </cacheHierarchy>
    <cacheHierarchy uniqueName="[Measures].[Sum of NS1]" caption="Sum of NS1" measure="1" displayFolder="" measureGroup="Dataset" count="0" hidden="1">
      <extLst>
        <ext xmlns:x15="http://schemas.microsoft.com/office/spreadsheetml/2010/11/main" uri="{B97F6D7D-B522-45F9-BDA1-12C45D357490}">
          <x15:cacheHierarchy aggregatedColumn="3"/>
        </ext>
      </extLst>
    </cacheHierarchy>
    <cacheHierarchy uniqueName="[Measures].[Sum of IgG]" caption="Sum of IgG" measure="1" displayFolder="" measureGroup="Dataset" count="0" hidden="1">
      <extLst>
        <ext xmlns:x15="http://schemas.microsoft.com/office/spreadsheetml/2010/11/main" uri="{B97F6D7D-B522-45F9-BDA1-12C45D357490}">
          <x15:cacheHierarchy aggregatedColumn="4"/>
        </ext>
      </extLst>
    </cacheHierarchy>
    <cacheHierarchy uniqueName="[Measures].[Sum of IgM]" caption="Sum of IgM" measure="1" displayFolder="" measureGroup="Dataset"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ataset" count="0" hidden="1">
      <extLst>
        <ext xmlns:x15="http://schemas.microsoft.com/office/spreadsheetml/2010/11/main" uri="{B97F6D7D-B522-45F9-BDA1-12C45D357490}">
          <x15:cacheHierarchy aggregatedColumn="1"/>
        </ext>
      </extLst>
    </cacheHierarchy>
    <cacheHierarchy uniqueName="[Measures].[Average of Age]" caption="Average of Age" measure="1" displayFolder="" measureGroup="Dataset" count="0" hidden="1">
      <extLst>
        <ext xmlns:x15="http://schemas.microsoft.com/office/spreadsheetml/2010/11/main" uri="{B97F6D7D-B522-45F9-BDA1-12C45D357490}">
          <x15:cacheHierarchy aggregatedColumn="1"/>
        </ext>
      </extLst>
    </cacheHierarchy>
  </cacheHierarchies>
  <kpis count="0"/>
  <dimensions count="2">
    <dimension name="Dataset" uniqueName="[Dataset]" caption="Dataset"/>
    <dimension measure="1" name="Measures" uniqueName="[Measures]" caption="Measures"/>
  </dimensions>
  <measureGroups count="1">
    <measureGroup name="Dataset" caption="Datase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ehedi Hasan" refreshedDate="45691.024610069442" backgroundQuery="1" createdVersion="7" refreshedVersion="7" minRefreshableVersion="3" recordCount="0" supportSubquery="1" supportAdvancedDrill="1" xr:uid="{52D03424-69CC-4345-85D8-6152A0DDB819}">
  <cacheSource type="external" connectionId="3"/>
  <cacheFields count="3">
    <cacheField name="[Measures].[Average of Age]" caption="Average of Age" numFmtId="0" hierarchy="31" level="32767"/>
    <cacheField name="[Dataset].[Outcome].[Outcome]" caption="Outcome" numFmtId="0" hierarchy="10" level="1">
      <sharedItems containsSemiMixedTypes="0" containsString="0" containsNumber="1" containsInteger="1" minValue="1" maxValue="1" count="1">
        <n v="1"/>
      </sharedItems>
      <extLst>
        <ext xmlns:x15="http://schemas.microsoft.com/office/spreadsheetml/2010/11/main" uri="{4F2E5C28-24EA-4eb8-9CBF-B6C8F9C3D259}">
          <x15:cachedUniqueNames>
            <x15:cachedUniqueName index="0" name="[Dataset].[Outcome].&amp;[1]"/>
          </x15:cachedUniqueNames>
        </ext>
      </extLst>
    </cacheField>
    <cacheField name="[Dataset].[Gender].[Gender]" caption="Gender" numFmtId="0" level="1">
      <sharedItems containsSemiMixedTypes="0" containsNonDate="0" containsString="0"/>
    </cacheField>
  </cacheFields>
  <cacheHierarchies count="32">
    <cacheHierarchy uniqueName="[Dataset].[Gender]" caption="Gender" attribute="1" defaultMemberUniqueName="[Dataset].[Gender].[All]" allUniqueName="[Dataset].[Gender].[All]" dimensionUniqueName="[Dataset]" displayFolder="" count="2" memberValueDatatype="130" unbalanced="0">
      <fieldsUsage count="2">
        <fieldUsage x="-1"/>
        <fieldUsage x="2"/>
      </fieldsUsage>
    </cacheHierarchy>
    <cacheHierarchy uniqueName="[Dataset].[Age]" caption="Age" attribute="1" defaultMemberUniqueName="[Dataset].[Age].[All]" allUniqueName="[Dataset].[Age].[All]" dimensionUniqueName="[Dataset]" displayFolder="" count="0" memberValueDatatype="20" unbalanced="0"/>
    <cacheHierarchy uniqueName="[Dataset].[Age Group]" caption="Age Group" attribute="1" defaultMemberUniqueName="[Dataset].[Age Group].[All]" allUniqueName="[Dataset].[Age Group].[All]" dimensionUniqueName="[Dataset]" displayFolder="" count="0" memberValueDatatype="130" unbalanced="0"/>
    <cacheHierarchy uniqueName="[Dataset].[NS1]" caption="NS1" attribute="1" defaultMemberUniqueName="[Dataset].[NS1].[All]" allUniqueName="[Dataset].[NS1].[All]" dimensionUniqueName="[Dataset]" displayFolder="" count="0" memberValueDatatype="20" unbalanced="0"/>
    <cacheHierarchy uniqueName="[Dataset].[IgG]" caption="IgG" attribute="1" defaultMemberUniqueName="[Dataset].[IgG].[All]" allUniqueName="[Dataset].[IgG].[All]" dimensionUniqueName="[Dataset]" displayFolder="" count="0" memberValueDatatype="20" unbalanced="0"/>
    <cacheHierarchy uniqueName="[Dataset].[IgM]" caption="IgM" attribute="1" defaultMemberUniqueName="[Dataset].[IgM].[All]" allUniqueName="[Dataset].[IgM].[All]" dimensionUniqueName="[Dataset]" displayFolder="" count="0" memberValueDatatype="20" unbalanced="0"/>
    <cacheHierarchy uniqueName="[Dataset].[Risk Type]" caption="Risk Type" attribute="1" defaultMemberUniqueName="[Dataset].[Risk Type].[All]" allUniqueName="[Dataset].[Risk Type].[All]" dimensionUniqueName="[Dataset]" displayFolder="" count="0" memberValueDatatype="130" unbalanced="0"/>
    <cacheHierarchy uniqueName="[Dataset].[Area]" caption="Area" attribute="1" defaultMemberUniqueName="[Dataset].[Area].[All]" allUniqueName="[Dataset].[Area].[All]" dimensionUniqueName="[Dataset]" displayFolder="" count="0" memberValueDatatype="130" unbalanced="0"/>
    <cacheHierarchy uniqueName="[Dataset].[AreaType]" caption="AreaType" attribute="1" defaultMemberUniqueName="[Dataset].[AreaType].[All]" allUniqueName="[Dataset].[AreaType].[All]" dimensionUniqueName="[Dataset]" displayFolder="" count="2" memberValueDatatype="130" unbalanced="0"/>
    <cacheHierarchy uniqueName="[Dataset].[HouseType]" caption="HouseType" attribute="1" defaultMemberUniqueName="[Dataset].[HouseType].[All]" allUniqueName="[Dataset].[HouseType].[All]" dimensionUniqueName="[Dataset]" displayFolder="" count="2" memberValueDatatype="130" unbalanced="0"/>
    <cacheHierarchy uniqueName="[Dataset].[Outcome]" caption="Outcome" attribute="1" defaultMemberUniqueName="[Dataset].[Outcome].[All]" allUniqueName="[Dataset].[Outcome].[All]" dimensionUniqueName="[Dataset]" displayFolder="" count="2" memberValueDatatype="20" unbalanced="0">
      <fieldsUsage count="2">
        <fieldUsage x="-1"/>
        <fieldUsage x="1"/>
      </fieldsUsage>
    </cacheHierarchy>
    <cacheHierarchy uniqueName="[Measures].[NS1_Positivity_Rate]" caption="NS1_Positivity_Rate" measure="1" displayFolder="" measureGroup="Dataset" count="0"/>
    <cacheHierarchy uniqueName="[Measures].[IgG_Positivity_Rate]" caption="IgG_Positivity_Rate" measure="1" displayFolder="" measureGroup="Dataset" count="0"/>
    <cacheHierarchy uniqueName="[Measures].[IgM_Positivity_Rate]" caption="IgM_Positivity_Rate" measure="1" displayFolder="" measureGroup="Dataset" count="0"/>
    <cacheHierarchy uniqueName="[Measures].[Dengue Positivity Rate (%)]" caption="Dengue Positivity Rate (%)" measure="1" displayFolder="" measureGroup="Dataset" count="0"/>
    <cacheHierarchy uniqueName="[Measures].[Total_Dengue_Cases]" caption="Total_Dengue_Cases" measure="1" displayFolder="" measureGroup="Dataset" count="0"/>
    <cacheHierarchy uniqueName="[Measures].[Confirmed_NS1_Positives]" caption="Confirmed_NS1_Positives" measure="1" displayFolder="" measureGroup="Dataset" count="0"/>
    <cacheHierarchy uniqueName="[Measures].[Confirmed_IgG_Positives]" caption="Confirmed_IgG_Positives" measure="1" displayFolder="" measureGroup="Dataset" count="0"/>
    <cacheHierarchy uniqueName="[Measures].[Confirmed_IgM_Positives]" caption="Confirmed_IgM_Positives" measure="1" displayFolder="" measureGroup="Dataset" count="0"/>
    <cacheHierarchy uniqueName="[Measures].[NS1_Effectiveness]" caption="NS1_Effectiveness" measure="1" displayFolder="" measureGroup="Dataset" count="0"/>
    <cacheHierarchy uniqueName="[Measures].[IgG_Effectiveness]" caption="IgG_Effectiveness" measure="1" displayFolder="" measureGroup="Dataset" count="0"/>
    <cacheHierarchy uniqueName="[Measures].[IgM_Effectiveness]" caption="IgM_Effectiveness" measure="1" displayFolder="" measureGroup="Dataset" count="0"/>
    <cacheHierarchy uniqueName="[Measures].[__XL_Count Dataset]" caption="__XL_Count Dataset" measure="1" displayFolder="" measureGroup="Dataset" count="0" hidden="1"/>
    <cacheHierarchy uniqueName="[Measures].[__No measures defined]" caption="__No measures defined" measure="1" displayFolder="" count="0" hidden="1"/>
    <cacheHierarchy uniqueName="[Measures].[Sum of Outcome]" caption="Sum of Outcome" measure="1" displayFolder="" measureGroup="Dataset" count="0" hidden="1">
      <extLst>
        <ext xmlns:x15="http://schemas.microsoft.com/office/spreadsheetml/2010/11/main" uri="{B97F6D7D-B522-45F9-BDA1-12C45D357490}">
          <x15:cacheHierarchy aggregatedColumn="10"/>
        </ext>
      </extLst>
    </cacheHierarchy>
    <cacheHierarchy uniqueName="[Measures].[Count of Outcome]" caption="Count of Outcome" measure="1" displayFolder="" measureGroup="Dataset" count="0" hidden="1">
      <extLst>
        <ext xmlns:x15="http://schemas.microsoft.com/office/spreadsheetml/2010/11/main" uri="{B97F6D7D-B522-45F9-BDA1-12C45D357490}">
          <x15:cacheHierarchy aggregatedColumn="10"/>
        </ext>
      </extLst>
    </cacheHierarchy>
    <cacheHierarchy uniqueName="[Measures].[Average of Outcome]" caption="Average of Outcome" measure="1" displayFolder="" measureGroup="Dataset" count="0" hidden="1">
      <extLst>
        <ext xmlns:x15="http://schemas.microsoft.com/office/spreadsheetml/2010/11/main" uri="{B97F6D7D-B522-45F9-BDA1-12C45D357490}">
          <x15:cacheHierarchy aggregatedColumn="10"/>
        </ext>
      </extLst>
    </cacheHierarchy>
    <cacheHierarchy uniqueName="[Measures].[Sum of NS1]" caption="Sum of NS1" measure="1" displayFolder="" measureGroup="Dataset" count="0" hidden="1">
      <extLst>
        <ext xmlns:x15="http://schemas.microsoft.com/office/spreadsheetml/2010/11/main" uri="{B97F6D7D-B522-45F9-BDA1-12C45D357490}">
          <x15:cacheHierarchy aggregatedColumn="3"/>
        </ext>
      </extLst>
    </cacheHierarchy>
    <cacheHierarchy uniqueName="[Measures].[Sum of IgG]" caption="Sum of IgG" measure="1" displayFolder="" measureGroup="Dataset" count="0" hidden="1">
      <extLst>
        <ext xmlns:x15="http://schemas.microsoft.com/office/spreadsheetml/2010/11/main" uri="{B97F6D7D-B522-45F9-BDA1-12C45D357490}">
          <x15:cacheHierarchy aggregatedColumn="4"/>
        </ext>
      </extLst>
    </cacheHierarchy>
    <cacheHierarchy uniqueName="[Measures].[Sum of IgM]" caption="Sum of IgM" measure="1" displayFolder="" measureGroup="Dataset"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ataset" count="0" hidden="1">
      <extLst>
        <ext xmlns:x15="http://schemas.microsoft.com/office/spreadsheetml/2010/11/main" uri="{B97F6D7D-B522-45F9-BDA1-12C45D357490}">
          <x15:cacheHierarchy aggregatedColumn="1"/>
        </ext>
      </extLst>
    </cacheHierarchy>
    <cacheHierarchy uniqueName="[Measures].[Average of Age]" caption="Average of Age" measure="1" displayFolder="" measureGroup="Dataset" count="0" oneField="1" hidden="1">
      <fieldsUsage count="1">
        <fieldUsage x="0"/>
      </fieldsUsage>
      <extLst>
        <ext xmlns:x15="http://schemas.microsoft.com/office/spreadsheetml/2010/11/main" uri="{B97F6D7D-B522-45F9-BDA1-12C45D357490}">
          <x15:cacheHierarchy aggregatedColumn="1"/>
        </ext>
      </extLst>
    </cacheHierarchy>
  </cacheHierarchies>
  <kpis count="0"/>
  <dimensions count="2">
    <dimension name="Dataset" uniqueName="[Dataset]" caption="Dataset"/>
    <dimension measure="1" name="Measures" uniqueName="[Measures]" caption="Measures"/>
  </dimensions>
  <measureGroups count="1">
    <measureGroup name="Dataset" caption="Datase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ehedi Hasan" refreshedDate="45691.024610416665" backgroundQuery="1" createdVersion="7" refreshedVersion="7" minRefreshableVersion="3" recordCount="0" supportSubquery="1" supportAdvancedDrill="1" xr:uid="{CC1E7B55-A7D4-4E9F-AFE0-DF85DC28FAED}">
  <cacheSource type="external" connectionId="3"/>
  <cacheFields count="3">
    <cacheField name="[Dataset].[HouseType].[HouseType]" caption="HouseType" numFmtId="0" hierarchy="9" level="1">
      <sharedItems count="3">
        <s v="Building"/>
        <s v="Other"/>
        <s v="Tinshed"/>
      </sharedItems>
    </cacheField>
    <cacheField name="[Measures].[Sum of Outcome]" caption="Sum of Outcome" numFmtId="0" hierarchy="24" level="32767"/>
    <cacheField name="[Dataset].[Gender].[Gender]" caption="Gender" numFmtId="0" level="1">
      <sharedItems containsSemiMixedTypes="0" containsNonDate="0" containsString="0"/>
    </cacheField>
  </cacheFields>
  <cacheHierarchies count="32">
    <cacheHierarchy uniqueName="[Dataset].[Gender]" caption="Gender" attribute="1" defaultMemberUniqueName="[Dataset].[Gender].[All]" allUniqueName="[Dataset].[Gender].[All]" dimensionUniqueName="[Dataset]" displayFolder="" count="2" memberValueDatatype="130" unbalanced="0">
      <fieldsUsage count="2">
        <fieldUsage x="-1"/>
        <fieldUsage x="2"/>
      </fieldsUsage>
    </cacheHierarchy>
    <cacheHierarchy uniqueName="[Dataset].[Age]" caption="Age" attribute="1" defaultMemberUniqueName="[Dataset].[Age].[All]" allUniqueName="[Dataset].[Age].[All]" dimensionUniqueName="[Dataset]" displayFolder="" count="0" memberValueDatatype="20" unbalanced="0"/>
    <cacheHierarchy uniqueName="[Dataset].[Age Group]" caption="Age Group" attribute="1" defaultMemberUniqueName="[Dataset].[Age Group].[All]" allUniqueName="[Dataset].[Age Group].[All]" dimensionUniqueName="[Dataset]" displayFolder="" count="0" memberValueDatatype="130" unbalanced="0"/>
    <cacheHierarchy uniqueName="[Dataset].[NS1]" caption="NS1" attribute="1" defaultMemberUniqueName="[Dataset].[NS1].[All]" allUniqueName="[Dataset].[NS1].[All]" dimensionUniqueName="[Dataset]" displayFolder="" count="0" memberValueDatatype="20" unbalanced="0"/>
    <cacheHierarchy uniqueName="[Dataset].[IgG]" caption="IgG" attribute="1" defaultMemberUniqueName="[Dataset].[IgG].[All]" allUniqueName="[Dataset].[IgG].[All]" dimensionUniqueName="[Dataset]" displayFolder="" count="0" memberValueDatatype="20" unbalanced="0"/>
    <cacheHierarchy uniqueName="[Dataset].[IgM]" caption="IgM" attribute="1" defaultMemberUniqueName="[Dataset].[IgM].[All]" allUniqueName="[Dataset].[IgM].[All]" dimensionUniqueName="[Dataset]" displayFolder="" count="0" memberValueDatatype="20" unbalanced="0"/>
    <cacheHierarchy uniqueName="[Dataset].[Risk Type]" caption="Risk Type" attribute="1" defaultMemberUniqueName="[Dataset].[Risk Type].[All]" allUniqueName="[Dataset].[Risk Type].[All]" dimensionUniqueName="[Dataset]" displayFolder="" count="0" memberValueDatatype="130" unbalanced="0"/>
    <cacheHierarchy uniqueName="[Dataset].[Area]" caption="Area" attribute="1" defaultMemberUniqueName="[Dataset].[Area].[All]" allUniqueName="[Dataset].[Area].[All]" dimensionUniqueName="[Dataset]" displayFolder="" count="0" memberValueDatatype="130" unbalanced="0"/>
    <cacheHierarchy uniqueName="[Dataset].[AreaType]" caption="AreaType" attribute="1" defaultMemberUniqueName="[Dataset].[AreaType].[All]" allUniqueName="[Dataset].[AreaType].[All]" dimensionUniqueName="[Dataset]" displayFolder="" count="2" memberValueDatatype="130" unbalanced="0"/>
    <cacheHierarchy uniqueName="[Dataset].[HouseType]" caption="HouseType" attribute="1" defaultMemberUniqueName="[Dataset].[HouseType].[All]" allUniqueName="[Dataset].[HouseType].[All]" dimensionUniqueName="[Dataset]" displayFolder="" count="2" memberValueDatatype="130" unbalanced="0">
      <fieldsUsage count="2">
        <fieldUsage x="-1"/>
        <fieldUsage x="0"/>
      </fieldsUsage>
    </cacheHierarchy>
    <cacheHierarchy uniqueName="[Dataset].[Outcome]" caption="Outcome" attribute="1" defaultMemberUniqueName="[Dataset].[Outcome].[All]" allUniqueName="[Dataset].[Outcome].[All]" dimensionUniqueName="[Dataset]" displayFolder="" count="0" memberValueDatatype="20" unbalanced="0"/>
    <cacheHierarchy uniqueName="[Measures].[NS1_Positivity_Rate]" caption="NS1_Positivity_Rate" measure="1" displayFolder="" measureGroup="Dataset" count="0"/>
    <cacheHierarchy uniqueName="[Measures].[IgG_Positivity_Rate]" caption="IgG_Positivity_Rate" measure="1" displayFolder="" measureGroup="Dataset" count="0"/>
    <cacheHierarchy uniqueName="[Measures].[IgM_Positivity_Rate]" caption="IgM_Positivity_Rate" measure="1" displayFolder="" measureGroup="Dataset" count="0"/>
    <cacheHierarchy uniqueName="[Measures].[Dengue Positivity Rate (%)]" caption="Dengue Positivity Rate (%)" measure="1" displayFolder="" measureGroup="Dataset" count="0"/>
    <cacheHierarchy uniqueName="[Measures].[Total_Dengue_Cases]" caption="Total_Dengue_Cases" measure="1" displayFolder="" measureGroup="Dataset" count="0"/>
    <cacheHierarchy uniqueName="[Measures].[Confirmed_NS1_Positives]" caption="Confirmed_NS1_Positives" measure="1" displayFolder="" measureGroup="Dataset" count="0"/>
    <cacheHierarchy uniqueName="[Measures].[Confirmed_IgG_Positives]" caption="Confirmed_IgG_Positives" measure="1" displayFolder="" measureGroup="Dataset" count="0"/>
    <cacheHierarchy uniqueName="[Measures].[Confirmed_IgM_Positives]" caption="Confirmed_IgM_Positives" measure="1" displayFolder="" measureGroup="Dataset" count="0"/>
    <cacheHierarchy uniqueName="[Measures].[NS1_Effectiveness]" caption="NS1_Effectiveness" measure="1" displayFolder="" measureGroup="Dataset" count="0"/>
    <cacheHierarchy uniqueName="[Measures].[IgG_Effectiveness]" caption="IgG_Effectiveness" measure="1" displayFolder="" measureGroup="Dataset" count="0"/>
    <cacheHierarchy uniqueName="[Measures].[IgM_Effectiveness]" caption="IgM_Effectiveness" measure="1" displayFolder="" measureGroup="Dataset" count="0"/>
    <cacheHierarchy uniqueName="[Measures].[__XL_Count Dataset]" caption="__XL_Count Dataset" measure="1" displayFolder="" measureGroup="Dataset" count="0" hidden="1"/>
    <cacheHierarchy uniqueName="[Measures].[__No measures defined]" caption="__No measures defined" measure="1" displayFolder="" count="0" hidden="1"/>
    <cacheHierarchy uniqueName="[Measures].[Sum of Outcome]" caption="Sum of Outcome" measure="1" displayFolder="" measureGroup="Dataset" count="0" oneField="1" hidden="1">
      <fieldsUsage count="1">
        <fieldUsage x="1"/>
      </fieldsUsage>
      <extLst>
        <ext xmlns:x15="http://schemas.microsoft.com/office/spreadsheetml/2010/11/main" uri="{B97F6D7D-B522-45F9-BDA1-12C45D357490}">
          <x15:cacheHierarchy aggregatedColumn="10"/>
        </ext>
      </extLst>
    </cacheHierarchy>
    <cacheHierarchy uniqueName="[Measures].[Count of Outcome]" caption="Count of Outcome" measure="1" displayFolder="" measureGroup="Dataset" count="0" hidden="1">
      <extLst>
        <ext xmlns:x15="http://schemas.microsoft.com/office/spreadsheetml/2010/11/main" uri="{B97F6D7D-B522-45F9-BDA1-12C45D357490}">
          <x15:cacheHierarchy aggregatedColumn="10"/>
        </ext>
      </extLst>
    </cacheHierarchy>
    <cacheHierarchy uniqueName="[Measures].[Average of Outcome]" caption="Average of Outcome" measure="1" displayFolder="" measureGroup="Dataset" count="0" hidden="1">
      <extLst>
        <ext xmlns:x15="http://schemas.microsoft.com/office/spreadsheetml/2010/11/main" uri="{B97F6D7D-B522-45F9-BDA1-12C45D357490}">
          <x15:cacheHierarchy aggregatedColumn="10"/>
        </ext>
      </extLst>
    </cacheHierarchy>
    <cacheHierarchy uniqueName="[Measures].[Sum of NS1]" caption="Sum of NS1" measure="1" displayFolder="" measureGroup="Dataset" count="0" hidden="1">
      <extLst>
        <ext xmlns:x15="http://schemas.microsoft.com/office/spreadsheetml/2010/11/main" uri="{B97F6D7D-B522-45F9-BDA1-12C45D357490}">
          <x15:cacheHierarchy aggregatedColumn="3"/>
        </ext>
      </extLst>
    </cacheHierarchy>
    <cacheHierarchy uniqueName="[Measures].[Sum of IgG]" caption="Sum of IgG" measure="1" displayFolder="" measureGroup="Dataset" count="0" hidden="1">
      <extLst>
        <ext xmlns:x15="http://schemas.microsoft.com/office/spreadsheetml/2010/11/main" uri="{B97F6D7D-B522-45F9-BDA1-12C45D357490}">
          <x15:cacheHierarchy aggregatedColumn="4"/>
        </ext>
      </extLst>
    </cacheHierarchy>
    <cacheHierarchy uniqueName="[Measures].[Sum of IgM]" caption="Sum of IgM" measure="1" displayFolder="" measureGroup="Dataset"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ataset" count="0" hidden="1">
      <extLst>
        <ext xmlns:x15="http://schemas.microsoft.com/office/spreadsheetml/2010/11/main" uri="{B97F6D7D-B522-45F9-BDA1-12C45D357490}">
          <x15:cacheHierarchy aggregatedColumn="1"/>
        </ext>
      </extLst>
    </cacheHierarchy>
    <cacheHierarchy uniqueName="[Measures].[Average of Age]" caption="Average of Age" measure="1" displayFolder="" measureGroup="Dataset" count="0" hidden="1">
      <extLst>
        <ext xmlns:x15="http://schemas.microsoft.com/office/spreadsheetml/2010/11/main" uri="{B97F6D7D-B522-45F9-BDA1-12C45D357490}">
          <x15:cacheHierarchy aggregatedColumn="1"/>
        </ext>
      </extLst>
    </cacheHierarchy>
  </cacheHierarchies>
  <kpis count="0"/>
  <dimensions count="2">
    <dimension name="Dataset" uniqueName="[Dataset]" caption="Dataset"/>
    <dimension measure="1" name="Measures" uniqueName="[Measures]" caption="Measures"/>
  </dimensions>
  <measureGroups count="1">
    <measureGroup name="Dataset" caption="Datase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ehedi Hasan" refreshedDate="45691.024610879627" backgroundQuery="1" createdVersion="7" refreshedVersion="7" minRefreshableVersion="3" recordCount="0" supportSubquery="1" supportAdvancedDrill="1" xr:uid="{02760E19-61CB-44AE-8A8C-C4D64A2237FD}">
  <cacheSource type="external" connectionId="3"/>
  <cacheFields count="3">
    <cacheField name="[Dataset].[Age Group].[Age Group]" caption="Age Group" numFmtId="0" hierarchy="2" level="1">
      <sharedItems count="5">
        <s v="0-10"/>
        <s v="11-18"/>
        <s v="19-30"/>
        <s v="31-60"/>
        <s v="above 60"/>
      </sharedItems>
    </cacheField>
    <cacheField name="[Measures].[Sum of Outcome]" caption="Sum of Outcome" numFmtId="0" hierarchy="24" level="32767"/>
    <cacheField name="[Dataset].[Gender].[Gender]" caption="Gender" numFmtId="0" level="1">
      <sharedItems containsSemiMixedTypes="0" containsNonDate="0" containsString="0"/>
    </cacheField>
  </cacheFields>
  <cacheHierarchies count="32">
    <cacheHierarchy uniqueName="[Dataset].[Gender]" caption="Gender" attribute="1" defaultMemberUniqueName="[Dataset].[Gender].[All]" allUniqueName="[Dataset].[Gender].[All]" dimensionUniqueName="[Dataset]" displayFolder="" count="2" memberValueDatatype="130" unbalanced="0">
      <fieldsUsage count="2">
        <fieldUsage x="-1"/>
        <fieldUsage x="2"/>
      </fieldsUsage>
    </cacheHierarchy>
    <cacheHierarchy uniqueName="[Dataset].[Age]" caption="Age" attribute="1" defaultMemberUniqueName="[Dataset].[Age].[All]" allUniqueName="[Dataset].[Age].[All]" dimensionUniqueName="[Dataset]" displayFolder="" count="0" memberValueDatatype="20" unbalanced="0"/>
    <cacheHierarchy uniqueName="[Dataset].[Age Group]" caption="Age Group" attribute="1" defaultMemberUniqueName="[Dataset].[Age Group].[All]" allUniqueName="[Dataset].[Age Group].[All]" dimensionUniqueName="[Dataset]" displayFolder="" count="2" memberValueDatatype="130" unbalanced="0">
      <fieldsUsage count="2">
        <fieldUsage x="-1"/>
        <fieldUsage x="0"/>
      </fieldsUsage>
    </cacheHierarchy>
    <cacheHierarchy uniqueName="[Dataset].[NS1]" caption="NS1" attribute="1" defaultMemberUniqueName="[Dataset].[NS1].[All]" allUniqueName="[Dataset].[NS1].[All]" dimensionUniqueName="[Dataset]" displayFolder="" count="0" memberValueDatatype="20" unbalanced="0"/>
    <cacheHierarchy uniqueName="[Dataset].[IgG]" caption="IgG" attribute="1" defaultMemberUniqueName="[Dataset].[IgG].[All]" allUniqueName="[Dataset].[IgG].[All]" dimensionUniqueName="[Dataset]" displayFolder="" count="0" memberValueDatatype="20" unbalanced="0"/>
    <cacheHierarchy uniqueName="[Dataset].[IgM]" caption="IgM" attribute="1" defaultMemberUniqueName="[Dataset].[IgM].[All]" allUniqueName="[Dataset].[IgM].[All]" dimensionUniqueName="[Dataset]" displayFolder="" count="0" memberValueDatatype="20" unbalanced="0"/>
    <cacheHierarchy uniqueName="[Dataset].[Risk Type]" caption="Risk Type" attribute="1" defaultMemberUniqueName="[Dataset].[Risk Type].[All]" allUniqueName="[Dataset].[Risk Type].[All]" dimensionUniqueName="[Dataset]" displayFolder="" count="0" memberValueDatatype="130" unbalanced="0"/>
    <cacheHierarchy uniqueName="[Dataset].[Area]" caption="Area" attribute="1" defaultMemberUniqueName="[Dataset].[Area].[All]" allUniqueName="[Dataset].[Area].[All]" dimensionUniqueName="[Dataset]" displayFolder="" count="0" memberValueDatatype="130" unbalanced="0"/>
    <cacheHierarchy uniqueName="[Dataset].[AreaType]" caption="AreaType" attribute="1" defaultMemberUniqueName="[Dataset].[AreaType].[All]" allUniqueName="[Dataset].[AreaType].[All]" dimensionUniqueName="[Dataset]" displayFolder="" count="2" memberValueDatatype="130" unbalanced="0"/>
    <cacheHierarchy uniqueName="[Dataset].[HouseType]" caption="HouseType" attribute="1" defaultMemberUniqueName="[Dataset].[HouseType].[All]" allUniqueName="[Dataset].[HouseType].[All]" dimensionUniqueName="[Dataset]" displayFolder="" count="2" memberValueDatatype="130" unbalanced="0"/>
    <cacheHierarchy uniqueName="[Dataset].[Outcome]" caption="Outcome" attribute="1" defaultMemberUniqueName="[Dataset].[Outcome].[All]" allUniqueName="[Dataset].[Outcome].[All]" dimensionUniqueName="[Dataset]" displayFolder="" count="0" memberValueDatatype="20" unbalanced="0"/>
    <cacheHierarchy uniqueName="[Measures].[NS1_Positivity_Rate]" caption="NS1_Positivity_Rate" measure="1" displayFolder="" measureGroup="Dataset" count="0"/>
    <cacheHierarchy uniqueName="[Measures].[IgG_Positivity_Rate]" caption="IgG_Positivity_Rate" measure="1" displayFolder="" measureGroup="Dataset" count="0"/>
    <cacheHierarchy uniqueName="[Measures].[IgM_Positivity_Rate]" caption="IgM_Positivity_Rate" measure="1" displayFolder="" measureGroup="Dataset" count="0"/>
    <cacheHierarchy uniqueName="[Measures].[Dengue Positivity Rate (%)]" caption="Dengue Positivity Rate (%)" measure="1" displayFolder="" measureGroup="Dataset" count="0"/>
    <cacheHierarchy uniqueName="[Measures].[Total_Dengue_Cases]" caption="Total_Dengue_Cases" measure="1" displayFolder="" measureGroup="Dataset" count="0"/>
    <cacheHierarchy uniqueName="[Measures].[Confirmed_NS1_Positives]" caption="Confirmed_NS1_Positives" measure="1" displayFolder="" measureGroup="Dataset" count="0"/>
    <cacheHierarchy uniqueName="[Measures].[Confirmed_IgG_Positives]" caption="Confirmed_IgG_Positives" measure="1" displayFolder="" measureGroup="Dataset" count="0"/>
    <cacheHierarchy uniqueName="[Measures].[Confirmed_IgM_Positives]" caption="Confirmed_IgM_Positives" measure="1" displayFolder="" measureGroup="Dataset" count="0"/>
    <cacheHierarchy uniqueName="[Measures].[NS1_Effectiveness]" caption="NS1_Effectiveness" measure="1" displayFolder="" measureGroup="Dataset" count="0"/>
    <cacheHierarchy uniqueName="[Measures].[IgG_Effectiveness]" caption="IgG_Effectiveness" measure="1" displayFolder="" measureGroup="Dataset" count="0"/>
    <cacheHierarchy uniqueName="[Measures].[IgM_Effectiveness]" caption="IgM_Effectiveness" measure="1" displayFolder="" measureGroup="Dataset" count="0"/>
    <cacheHierarchy uniqueName="[Measures].[__XL_Count Dataset]" caption="__XL_Count Dataset" measure="1" displayFolder="" measureGroup="Dataset" count="0" hidden="1"/>
    <cacheHierarchy uniqueName="[Measures].[__No measures defined]" caption="__No measures defined" measure="1" displayFolder="" count="0" hidden="1"/>
    <cacheHierarchy uniqueName="[Measures].[Sum of Outcome]" caption="Sum of Outcome" measure="1" displayFolder="" measureGroup="Dataset" count="0" oneField="1" hidden="1">
      <fieldsUsage count="1">
        <fieldUsage x="1"/>
      </fieldsUsage>
      <extLst>
        <ext xmlns:x15="http://schemas.microsoft.com/office/spreadsheetml/2010/11/main" uri="{B97F6D7D-B522-45F9-BDA1-12C45D357490}">
          <x15:cacheHierarchy aggregatedColumn="10"/>
        </ext>
      </extLst>
    </cacheHierarchy>
    <cacheHierarchy uniqueName="[Measures].[Count of Outcome]" caption="Count of Outcome" measure="1" displayFolder="" measureGroup="Dataset" count="0" hidden="1">
      <extLst>
        <ext xmlns:x15="http://schemas.microsoft.com/office/spreadsheetml/2010/11/main" uri="{B97F6D7D-B522-45F9-BDA1-12C45D357490}">
          <x15:cacheHierarchy aggregatedColumn="10"/>
        </ext>
      </extLst>
    </cacheHierarchy>
    <cacheHierarchy uniqueName="[Measures].[Average of Outcome]" caption="Average of Outcome" measure="1" displayFolder="" measureGroup="Dataset" count="0" hidden="1">
      <extLst>
        <ext xmlns:x15="http://schemas.microsoft.com/office/spreadsheetml/2010/11/main" uri="{B97F6D7D-B522-45F9-BDA1-12C45D357490}">
          <x15:cacheHierarchy aggregatedColumn="10"/>
        </ext>
      </extLst>
    </cacheHierarchy>
    <cacheHierarchy uniqueName="[Measures].[Sum of NS1]" caption="Sum of NS1" measure="1" displayFolder="" measureGroup="Dataset" count="0" hidden="1">
      <extLst>
        <ext xmlns:x15="http://schemas.microsoft.com/office/spreadsheetml/2010/11/main" uri="{B97F6D7D-B522-45F9-BDA1-12C45D357490}">
          <x15:cacheHierarchy aggregatedColumn="3"/>
        </ext>
      </extLst>
    </cacheHierarchy>
    <cacheHierarchy uniqueName="[Measures].[Sum of IgG]" caption="Sum of IgG" measure="1" displayFolder="" measureGroup="Dataset" count="0" hidden="1">
      <extLst>
        <ext xmlns:x15="http://schemas.microsoft.com/office/spreadsheetml/2010/11/main" uri="{B97F6D7D-B522-45F9-BDA1-12C45D357490}">
          <x15:cacheHierarchy aggregatedColumn="4"/>
        </ext>
      </extLst>
    </cacheHierarchy>
    <cacheHierarchy uniqueName="[Measures].[Sum of IgM]" caption="Sum of IgM" measure="1" displayFolder="" measureGroup="Dataset"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ataset" count="0" hidden="1">
      <extLst>
        <ext xmlns:x15="http://schemas.microsoft.com/office/spreadsheetml/2010/11/main" uri="{B97F6D7D-B522-45F9-BDA1-12C45D357490}">
          <x15:cacheHierarchy aggregatedColumn="1"/>
        </ext>
      </extLst>
    </cacheHierarchy>
    <cacheHierarchy uniqueName="[Measures].[Average of Age]" caption="Average of Age" measure="1" displayFolder="" measureGroup="Dataset" count="0" hidden="1">
      <extLst>
        <ext xmlns:x15="http://schemas.microsoft.com/office/spreadsheetml/2010/11/main" uri="{B97F6D7D-B522-45F9-BDA1-12C45D357490}">
          <x15:cacheHierarchy aggregatedColumn="1"/>
        </ext>
      </extLst>
    </cacheHierarchy>
  </cacheHierarchies>
  <kpis count="0"/>
  <dimensions count="2">
    <dimension name="Dataset" uniqueName="[Dataset]" caption="Dataset"/>
    <dimension measure="1" name="Measures" uniqueName="[Measures]" caption="Measures"/>
  </dimensions>
  <measureGroups count="1">
    <measureGroup name="Dataset" caption="Datase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ehedi Hasan" refreshedDate="45691.024611226851" backgroundQuery="1" createdVersion="7" refreshedVersion="7" minRefreshableVersion="3" recordCount="0" supportSubquery="1" supportAdvancedDrill="1" xr:uid="{D44D1F0B-1031-4FC8-800E-7AA315BEBFA5}">
  <cacheSource type="external" connectionId="3"/>
  <cacheFields count="3">
    <cacheField name="[Dataset].[Gender].[Gender]" caption="Gender" numFmtId="0" level="1">
      <sharedItems count="2">
        <s v="Female"/>
        <s v="Male"/>
      </sharedItems>
    </cacheField>
    <cacheField name="[Measures].[Sum of Outcome]" caption="Sum of Outcome" numFmtId="0" hierarchy="24" level="32767"/>
    <cacheField name="[Dataset].[Age Group].[Age Group]" caption="Age Group" numFmtId="0" hierarchy="2" level="1">
      <sharedItems count="5">
        <s v="0-10"/>
        <s v="11-18"/>
        <s v="19-30"/>
        <s v="31-60"/>
        <s v="above 60"/>
      </sharedItems>
    </cacheField>
  </cacheFields>
  <cacheHierarchies count="32">
    <cacheHierarchy uniqueName="[Dataset].[Gender]" caption="Gender" attribute="1" defaultMemberUniqueName="[Dataset].[Gender].[All]" allUniqueName="[Dataset].[Gender].[All]" dimensionUniqueName="[Dataset]" displayFolder="" count="2" memberValueDatatype="130" unbalanced="0">
      <fieldsUsage count="2">
        <fieldUsage x="-1"/>
        <fieldUsage x="0"/>
      </fieldsUsage>
    </cacheHierarchy>
    <cacheHierarchy uniqueName="[Dataset].[Age]" caption="Age" attribute="1" defaultMemberUniqueName="[Dataset].[Age].[All]" allUniqueName="[Dataset].[Age].[All]" dimensionUniqueName="[Dataset]" displayFolder="" count="0" memberValueDatatype="20" unbalanced="0"/>
    <cacheHierarchy uniqueName="[Dataset].[Age Group]" caption="Age Group" attribute="1" defaultMemberUniqueName="[Dataset].[Age Group].[All]" allUniqueName="[Dataset].[Age Group].[All]" dimensionUniqueName="[Dataset]" displayFolder="" count="2" memberValueDatatype="130" unbalanced="0">
      <fieldsUsage count="2">
        <fieldUsage x="-1"/>
        <fieldUsage x="2"/>
      </fieldsUsage>
    </cacheHierarchy>
    <cacheHierarchy uniqueName="[Dataset].[NS1]" caption="NS1" attribute="1" defaultMemberUniqueName="[Dataset].[NS1].[All]" allUniqueName="[Dataset].[NS1].[All]" dimensionUniqueName="[Dataset]" displayFolder="" count="0" memberValueDatatype="20" unbalanced="0"/>
    <cacheHierarchy uniqueName="[Dataset].[IgG]" caption="IgG" attribute="1" defaultMemberUniqueName="[Dataset].[IgG].[All]" allUniqueName="[Dataset].[IgG].[All]" dimensionUniqueName="[Dataset]" displayFolder="" count="0" memberValueDatatype="20" unbalanced="0"/>
    <cacheHierarchy uniqueName="[Dataset].[IgM]" caption="IgM" attribute="1" defaultMemberUniqueName="[Dataset].[IgM].[All]" allUniqueName="[Dataset].[IgM].[All]" dimensionUniqueName="[Dataset]" displayFolder="" count="0" memberValueDatatype="20" unbalanced="0"/>
    <cacheHierarchy uniqueName="[Dataset].[Risk Type]" caption="Risk Type" attribute="1" defaultMemberUniqueName="[Dataset].[Risk Type].[All]" allUniqueName="[Dataset].[Risk Type].[All]" dimensionUniqueName="[Dataset]" displayFolder="" count="0" memberValueDatatype="130" unbalanced="0"/>
    <cacheHierarchy uniqueName="[Dataset].[Area]" caption="Area" attribute="1" defaultMemberUniqueName="[Dataset].[Area].[All]" allUniqueName="[Dataset].[Area].[All]" dimensionUniqueName="[Dataset]" displayFolder="" count="0" memberValueDatatype="130" unbalanced="0"/>
    <cacheHierarchy uniqueName="[Dataset].[AreaType]" caption="AreaType" attribute="1" defaultMemberUniqueName="[Dataset].[AreaType].[All]" allUniqueName="[Dataset].[AreaType].[All]" dimensionUniqueName="[Dataset]" displayFolder="" count="2" memberValueDatatype="130" unbalanced="0"/>
    <cacheHierarchy uniqueName="[Dataset].[HouseType]" caption="HouseType" attribute="1" defaultMemberUniqueName="[Dataset].[HouseType].[All]" allUniqueName="[Dataset].[HouseType].[All]" dimensionUniqueName="[Dataset]" displayFolder="" count="2" memberValueDatatype="130" unbalanced="0"/>
    <cacheHierarchy uniqueName="[Dataset].[Outcome]" caption="Outcome" attribute="1" defaultMemberUniqueName="[Dataset].[Outcome].[All]" allUniqueName="[Dataset].[Outcome].[All]" dimensionUniqueName="[Dataset]" displayFolder="" count="0" memberValueDatatype="20" unbalanced="0"/>
    <cacheHierarchy uniqueName="[Measures].[NS1_Positivity_Rate]" caption="NS1_Positivity_Rate" measure="1" displayFolder="" measureGroup="Dataset" count="0"/>
    <cacheHierarchy uniqueName="[Measures].[IgG_Positivity_Rate]" caption="IgG_Positivity_Rate" measure="1" displayFolder="" measureGroup="Dataset" count="0"/>
    <cacheHierarchy uniqueName="[Measures].[IgM_Positivity_Rate]" caption="IgM_Positivity_Rate" measure="1" displayFolder="" measureGroup="Dataset" count="0"/>
    <cacheHierarchy uniqueName="[Measures].[Dengue Positivity Rate (%)]" caption="Dengue Positivity Rate (%)" measure="1" displayFolder="" measureGroup="Dataset" count="0"/>
    <cacheHierarchy uniqueName="[Measures].[Total_Dengue_Cases]" caption="Total_Dengue_Cases" measure="1" displayFolder="" measureGroup="Dataset" count="0"/>
    <cacheHierarchy uniqueName="[Measures].[Confirmed_NS1_Positives]" caption="Confirmed_NS1_Positives" measure="1" displayFolder="" measureGroup="Dataset" count="0"/>
    <cacheHierarchy uniqueName="[Measures].[Confirmed_IgG_Positives]" caption="Confirmed_IgG_Positives" measure="1" displayFolder="" measureGroup="Dataset" count="0"/>
    <cacheHierarchy uniqueName="[Measures].[Confirmed_IgM_Positives]" caption="Confirmed_IgM_Positives" measure="1" displayFolder="" measureGroup="Dataset" count="0"/>
    <cacheHierarchy uniqueName="[Measures].[NS1_Effectiveness]" caption="NS1_Effectiveness" measure="1" displayFolder="" measureGroup="Dataset" count="0"/>
    <cacheHierarchy uniqueName="[Measures].[IgG_Effectiveness]" caption="IgG_Effectiveness" measure="1" displayFolder="" measureGroup="Dataset" count="0"/>
    <cacheHierarchy uniqueName="[Measures].[IgM_Effectiveness]" caption="IgM_Effectiveness" measure="1" displayFolder="" measureGroup="Dataset" count="0"/>
    <cacheHierarchy uniqueName="[Measures].[__XL_Count Dataset]" caption="__XL_Count Dataset" measure="1" displayFolder="" measureGroup="Dataset" count="0" hidden="1"/>
    <cacheHierarchy uniqueName="[Measures].[__No measures defined]" caption="__No measures defined" measure="1" displayFolder="" count="0" hidden="1"/>
    <cacheHierarchy uniqueName="[Measures].[Sum of Outcome]" caption="Sum of Outcome" measure="1" displayFolder="" measureGroup="Dataset" count="0" oneField="1" hidden="1">
      <fieldsUsage count="1">
        <fieldUsage x="1"/>
      </fieldsUsage>
      <extLst>
        <ext xmlns:x15="http://schemas.microsoft.com/office/spreadsheetml/2010/11/main" uri="{B97F6D7D-B522-45F9-BDA1-12C45D357490}">
          <x15:cacheHierarchy aggregatedColumn="10"/>
        </ext>
      </extLst>
    </cacheHierarchy>
    <cacheHierarchy uniqueName="[Measures].[Count of Outcome]" caption="Count of Outcome" measure="1" displayFolder="" measureGroup="Dataset" count="0" hidden="1">
      <extLst>
        <ext xmlns:x15="http://schemas.microsoft.com/office/spreadsheetml/2010/11/main" uri="{B97F6D7D-B522-45F9-BDA1-12C45D357490}">
          <x15:cacheHierarchy aggregatedColumn="10"/>
        </ext>
      </extLst>
    </cacheHierarchy>
    <cacheHierarchy uniqueName="[Measures].[Average of Outcome]" caption="Average of Outcome" measure="1" displayFolder="" measureGroup="Dataset" count="0" hidden="1">
      <extLst>
        <ext xmlns:x15="http://schemas.microsoft.com/office/spreadsheetml/2010/11/main" uri="{B97F6D7D-B522-45F9-BDA1-12C45D357490}">
          <x15:cacheHierarchy aggregatedColumn="10"/>
        </ext>
      </extLst>
    </cacheHierarchy>
    <cacheHierarchy uniqueName="[Measures].[Sum of NS1]" caption="Sum of NS1" measure="1" displayFolder="" measureGroup="Dataset" count="0" hidden="1">
      <extLst>
        <ext xmlns:x15="http://schemas.microsoft.com/office/spreadsheetml/2010/11/main" uri="{B97F6D7D-B522-45F9-BDA1-12C45D357490}">
          <x15:cacheHierarchy aggregatedColumn="3"/>
        </ext>
      </extLst>
    </cacheHierarchy>
    <cacheHierarchy uniqueName="[Measures].[Sum of IgG]" caption="Sum of IgG" measure="1" displayFolder="" measureGroup="Dataset" count="0" hidden="1">
      <extLst>
        <ext xmlns:x15="http://schemas.microsoft.com/office/spreadsheetml/2010/11/main" uri="{B97F6D7D-B522-45F9-BDA1-12C45D357490}">
          <x15:cacheHierarchy aggregatedColumn="4"/>
        </ext>
      </extLst>
    </cacheHierarchy>
    <cacheHierarchy uniqueName="[Measures].[Sum of IgM]" caption="Sum of IgM" measure="1" displayFolder="" measureGroup="Dataset"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ataset" count="0" hidden="1">
      <extLst>
        <ext xmlns:x15="http://schemas.microsoft.com/office/spreadsheetml/2010/11/main" uri="{B97F6D7D-B522-45F9-BDA1-12C45D357490}">
          <x15:cacheHierarchy aggregatedColumn="1"/>
        </ext>
      </extLst>
    </cacheHierarchy>
    <cacheHierarchy uniqueName="[Measures].[Average of Age]" caption="Average of Age" measure="1" displayFolder="" measureGroup="Dataset" count="0" hidden="1">
      <extLst>
        <ext xmlns:x15="http://schemas.microsoft.com/office/spreadsheetml/2010/11/main" uri="{B97F6D7D-B522-45F9-BDA1-12C45D357490}">
          <x15:cacheHierarchy aggregatedColumn="1"/>
        </ext>
      </extLst>
    </cacheHierarchy>
  </cacheHierarchies>
  <kpis count="0"/>
  <dimensions count="2">
    <dimension name="Dataset" uniqueName="[Dataset]" caption="Dataset"/>
    <dimension measure="1" name="Measures" uniqueName="[Measures]" caption="Measures"/>
  </dimensions>
  <measureGroups count="1">
    <measureGroup name="Dataset" caption="Datase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ehedi Hasan" refreshedDate="45691.024611574074" backgroundQuery="1" createdVersion="7" refreshedVersion="7" minRefreshableVersion="3" recordCount="0" supportSubquery="1" supportAdvancedDrill="1" xr:uid="{AC4B6064-C3A6-4304-B810-3F36F8664296}">
  <cacheSource type="external" connectionId="3"/>
  <cacheFields count="5">
    <cacheField name="[Measures].[Sum of Outcome]" caption="Sum of Outcome" numFmtId="0" hierarchy="24" level="32767"/>
    <cacheField name="[Dataset].[NS1].[NS1]" caption="NS1" numFmtId="0" hierarchy="3" level="1">
      <sharedItems containsSemiMixedTypes="0" containsString="0" containsNumber="1" containsInteger="1" minValue="0" maxValue="1" count="2">
        <n v="0"/>
        <n v="1"/>
      </sharedItems>
      <extLst>
        <ext xmlns:x15="http://schemas.microsoft.com/office/spreadsheetml/2010/11/main" uri="{4F2E5C28-24EA-4eb8-9CBF-B6C8F9C3D259}">
          <x15:cachedUniqueNames>
            <x15:cachedUniqueName index="0" name="[Dataset].[NS1].&amp;[0]"/>
            <x15:cachedUniqueName index="1" name="[Dataset].[NS1].&amp;[1]"/>
          </x15:cachedUniqueNames>
        </ext>
      </extLst>
    </cacheField>
    <cacheField name="[Dataset].[IgG].[IgG]" caption="IgG" numFmtId="0" hierarchy="4" level="1">
      <sharedItems containsSemiMixedTypes="0" containsString="0" containsNumber="1" containsInteger="1" minValue="0" maxValue="1" count="2">
        <n v="0"/>
        <n v="1"/>
      </sharedItems>
      <extLst>
        <ext xmlns:x15="http://schemas.microsoft.com/office/spreadsheetml/2010/11/main" uri="{4F2E5C28-24EA-4eb8-9CBF-B6C8F9C3D259}">
          <x15:cachedUniqueNames>
            <x15:cachedUniqueName index="0" name="[Dataset].[IgG].&amp;[0]"/>
            <x15:cachedUniqueName index="1" name="[Dataset].[IgG].&amp;[1]"/>
          </x15:cachedUniqueNames>
        </ext>
      </extLst>
    </cacheField>
    <cacheField name="[Dataset].[IgM].[IgM]" caption="IgM" numFmtId="0" hierarchy="5" level="1">
      <sharedItems containsSemiMixedTypes="0" containsString="0" containsNumber="1" containsInteger="1" minValue="0" maxValue="1" count="2">
        <n v="0"/>
        <n v="1"/>
      </sharedItems>
      <extLst>
        <ext xmlns:x15="http://schemas.microsoft.com/office/spreadsheetml/2010/11/main" uri="{4F2E5C28-24EA-4eb8-9CBF-B6C8F9C3D259}">
          <x15:cachedUniqueNames>
            <x15:cachedUniqueName index="0" name="[Dataset].[IgM].&amp;[0]"/>
            <x15:cachedUniqueName index="1" name="[Dataset].[IgM].&amp;[1]"/>
          </x15:cachedUniqueNames>
        </ext>
      </extLst>
    </cacheField>
    <cacheField name="[Dataset].[Gender].[Gender]" caption="Gender" numFmtId="0" level="1">
      <sharedItems containsSemiMixedTypes="0" containsNonDate="0" containsString="0"/>
    </cacheField>
  </cacheFields>
  <cacheHierarchies count="32">
    <cacheHierarchy uniqueName="[Dataset].[Gender]" caption="Gender" attribute="1" defaultMemberUniqueName="[Dataset].[Gender].[All]" allUniqueName="[Dataset].[Gender].[All]" dimensionUniqueName="[Dataset]" displayFolder="" count="2" memberValueDatatype="130" unbalanced="0">
      <fieldsUsage count="2">
        <fieldUsage x="-1"/>
        <fieldUsage x="4"/>
      </fieldsUsage>
    </cacheHierarchy>
    <cacheHierarchy uniqueName="[Dataset].[Age]" caption="Age" attribute="1" defaultMemberUniqueName="[Dataset].[Age].[All]" allUniqueName="[Dataset].[Age].[All]" dimensionUniqueName="[Dataset]" displayFolder="" count="0" memberValueDatatype="20" unbalanced="0"/>
    <cacheHierarchy uniqueName="[Dataset].[Age Group]" caption="Age Group" attribute="1" defaultMemberUniqueName="[Dataset].[Age Group].[All]" allUniqueName="[Dataset].[Age Group].[All]" dimensionUniqueName="[Dataset]" displayFolder="" count="0" memberValueDatatype="130" unbalanced="0"/>
    <cacheHierarchy uniqueName="[Dataset].[NS1]" caption="NS1" attribute="1" defaultMemberUniqueName="[Dataset].[NS1].[All]" allUniqueName="[Dataset].[NS1].[All]" dimensionUniqueName="[Dataset]" displayFolder="" count="2" memberValueDatatype="20" unbalanced="0">
      <fieldsUsage count="2">
        <fieldUsage x="-1"/>
        <fieldUsage x="1"/>
      </fieldsUsage>
    </cacheHierarchy>
    <cacheHierarchy uniqueName="[Dataset].[IgG]" caption="IgG" attribute="1" defaultMemberUniqueName="[Dataset].[IgG].[All]" allUniqueName="[Dataset].[IgG].[All]" dimensionUniqueName="[Dataset]" displayFolder="" count="2" memberValueDatatype="20" unbalanced="0">
      <fieldsUsage count="2">
        <fieldUsage x="-1"/>
        <fieldUsage x="2"/>
      </fieldsUsage>
    </cacheHierarchy>
    <cacheHierarchy uniqueName="[Dataset].[IgM]" caption="IgM" attribute="1" defaultMemberUniqueName="[Dataset].[IgM].[All]" allUniqueName="[Dataset].[IgM].[All]" dimensionUniqueName="[Dataset]" displayFolder="" count="2" memberValueDatatype="20" unbalanced="0">
      <fieldsUsage count="2">
        <fieldUsage x="-1"/>
        <fieldUsage x="3"/>
      </fieldsUsage>
    </cacheHierarchy>
    <cacheHierarchy uniqueName="[Dataset].[Risk Type]" caption="Risk Type" attribute="1" defaultMemberUniqueName="[Dataset].[Risk Type].[All]" allUniqueName="[Dataset].[Risk Type].[All]" dimensionUniqueName="[Dataset]" displayFolder="" count="0" memberValueDatatype="130" unbalanced="0"/>
    <cacheHierarchy uniqueName="[Dataset].[Area]" caption="Area" attribute="1" defaultMemberUniqueName="[Dataset].[Area].[All]" allUniqueName="[Dataset].[Area].[All]" dimensionUniqueName="[Dataset]" displayFolder="" count="0" memberValueDatatype="130" unbalanced="0"/>
    <cacheHierarchy uniqueName="[Dataset].[AreaType]" caption="AreaType" attribute="1" defaultMemberUniqueName="[Dataset].[AreaType].[All]" allUniqueName="[Dataset].[AreaType].[All]" dimensionUniqueName="[Dataset]" displayFolder="" count="2" memberValueDatatype="130" unbalanced="0"/>
    <cacheHierarchy uniqueName="[Dataset].[HouseType]" caption="HouseType" attribute="1" defaultMemberUniqueName="[Dataset].[HouseType].[All]" allUniqueName="[Dataset].[HouseType].[All]" dimensionUniqueName="[Dataset]" displayFolder="" count="2" memberValueDatatype="130" unbalanced="0"/>
    <cacheHierarchy uniqueName="[Dataset].[Outcome]" caption="Outcome" attribute="1" defaultMemberUniqueName="[Dataset].[Outcome].[All]" allUniqueName="[Dataset].[Outcome].[All]" dimensionUniqueName="[Dataset]" displayFolder="" count="0" memberValueDatatype="20" unbalanced="0"/>
    <cacheHierarchy uniqueName="[Measures].[NS1_Positivity_Rate]" caption="NS1_Positivity_Rate" measure="1" displayFolder="" measureGroup="Dataset" count="0"/>
    <cacheHierarchy uniqueName="[Measures].[IgG_Positivity_Rate]" caption="IgG_Positivity_Rate" measure="1" displayFolder="" measureGroup="Dataset" count="0"/>
    <cacheHierarchy uniqueName="[Measures].[IgM_Positivity_Rate]" caption="IgM_Positivity_Rate" measure="1" displayFolder="" measureGroup="Dataset" count="0"/>
    <cacheHierarchy uniqueName="[Measures].[Dengue Positivity Rate (%)]" caption="Dengue Positivity Rate (%)" measure="1" displayFolder="" measureGroup="Dataset" count="0"/>
    <cacheHierarchy uniqueName="[Measures].[Total_Dengue_Cases]" caption="Total_Dengue_Cases" measure="1" displayFolder="" measureGroup="Dataset" count="0"/>
    <cacheHierarchy uniqueName="[Measures].[Confirmed_NS1_Positives]" caption="Confirmed_NS1_Positives" measure="1" displayFolder="" measureGroup="Dataset" count="0"/>
    <cacheHierarchy uniqueName="[Measures].[Confirmed_IgG_Positives]" caption="Confirmed_IgG_Positives" measure="1" displayFolder="" measureGroup="Dataset" count="0"/>
    <cacheHierarchy uniqueName="[Measures].[Confirmed_IgM_Positives]" caption="Confirmed_IgM_Positives" measure="1" displayFolder="" measureGroup="Dataset" count="0"/>
    <cacheHierarchy uniqueName="[Measures].[NS1_Effectiveness]" caption="NS1_Effectiveness" measure="1" displayFolder="" measureGroup="Dataset" count="0"/>
    <cacheHierarchy uniqueName="[Measures].[IgG_Effectiveness]" caption="IgG_Effectiveness" measure="1" displayFolder="" measureGroup="Dataset" count="0"/>
    <cacheHierarchy uniqueName="[Measures].[IgM_Effectiveness]" caption="IgM_Effectiveness" measure="1" displayFolder="" measureGroup="Dataset" count="0"/>
    <cacheHierarchy uniqueName="[Measures].[__XL_Count Dataset]" caption="__XL_Count Dataset" measure="1" displayFolder="" measureGroup="Dataset" count="0" hidden="1"/>
    <cacheHierarchy uniqueName="[Measures].[__No measures defined]" caption="__No measures defined" measure="1" displayFolder="" count="0" hidden="1"/>
    <cacheHierarchy uniqueName="[Measures].[Sum of Outcome]" caption="Sum of Outcome" measure="1" displayFolder="" measureGroup="Dataset" count="0" oneField="1" hidden="1">
      <fieldsUsage count="1">
        <fieldUsage x="0"/>
      </fieldsUsage>
      <extLst>
        <ext xmlns:x15="http://schemas.microsoft.com/office/spreadsheetml/2010/11/main" uri="{B97F6D7D-B522-45F9-BDA1-12C45D357490}">
          <x15:cacheHierarchy aggregatedColumn="10"/>
        </ext>
      </extLst>
    </cacheHierarchy>
    <cacheHierarchy uniqueName="[Measures].[Count of Outcome]" caption="Count of Outcome" measure="1" displayFolder="" measureGroup="Dataset" count="0" hidden="1">
      <extLst>
        <ext xmlns:x15="http://schemas.microsoft.com/office/spreadsheetml/2010/11/main" uri="{B97F6D7D-B522-45F9-BDA1-12C45D357490}">
          <x15:cacheHierarchy aggregatedColumn="10"/>
        </ext>
      </extLst>
    </cacheHierarchy>
    <cacheHierarchy uniqueName="[Measures].[Average of Outcome]" caption="Average of Outcome" measure="1" displayFolder="" measureGroup="Dataset" count="0" hidden="1">
      <extLst>
        <ext xmlns:x15="http://schemas.microsoft.com/office/spreadsheetml/2010/11/main" uri="{B97F6D7D-B522-45F9-BDA1-12C45D357490}">
          <x15:cacheHierarchy aggregatedColumn="10"/>
        </ext>
      </extLst>
    </cacheHierarchy>
    <cacheHierarchy uniqueName="[Measures].[Sum of NS1]" caption="Sum of NS1" measure="1" displayFolder="" measureGroup="Dataset" count="0" hidden="1">
      <extLst>
        <ext xmlns:x15="http://schemas.microsoft.com/office/spreadsheetml/2010/11/main" uri="{B97F6D7D-B522-45F9-BDA1-12C45D357490}">
          <x15:cacheHierarchy aggregatedColumn="3"/>
        </ext>
      </extLst>
    </cacheHierarchy>
    <cacheHierarchy uniqueName="[Measures].[Sum of IgG]" caption="Sum of IgG" measure="1" displayFolder="" measureGroup="Dataset" count="0" hidden="1">
      <extLst>
        <ext xmlns:x15="http://schemas.microsoft.com/office/spreadsheetml/2010/11/main" uri="{B97F6D7D-B522-45F9-BDA1-12C45D357490}">
          <x15:cacheHierarchy aggregatedColumn="4"/>
        </ext>
      </extLst>
    </cacheHierarchy>
    <cacheHierarchy uniqueName="[Measures].[Sum of IgM]" caption="Sum of IgM" measure="1" displayFolder="" measureGroup="Dataset"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ataset" count="0" hidden="1">
      <extLst>
        <ext xmlns:x15="http://schemas.microsoft.com/office/spreadsheetml/2010/11/main" uri="{B97F6D7D-B522-45F9-BDA1-12C45D357490}">
          <x15:cacheHierarchy aggregatedColumn="1"/>
        </ext>
      </extLst>
    </cacheHierarchy>
    <cacheHierarchy uniqueName="[Measures].[Average of Age]" caption="Average of Age" measure="1" displayFolder="" measureGroup="Dataset" count="0" hidden="1">
      <extLst>
        <ext xmlns:x15="http://schemas.microsoft.com/office/spreadsheetml/2010/11/main" uri="{B97F6D7D-B522-45F9-BDA1-12C45D357490}">
          <x15:cacheHierarchy aggregatedColumn="1"/>
        </ext>
      </extLst>
    </cacheHierarchy>
  </cacheHierarchies>
  <kpis count="0"/>
  <dimensions count="2">
    <dimension name="Dataset" uniqueName="[Dataset]" caption="Dataset"/>
    <dimension measure="1" name="Measures" uniqueName="[Measures]" caption="Measures"/>
  </dimensions>
  <measureGroups count="1">
    <measureGroup name="Dataset" caption="Datase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ehedi Hasan" refreshedDate="45691.024611921297" backgroundQuery="1" createdVersion="7" refreshedVersion="7" minRefreshableVersion="3" recordCount="0" supportSubquery="1" supportAdvancedDrill="1" xr:uid="{C16D0F3B-6384-45C5-A1A9-4063E54DED59}">
  <cacheSource type="external" connectionId="3"/>
  <cacheFields count="3">
    <cacheField name="[Dataset].[Risk Type].[Risk Type]" caption="Risk Type" numFmtId="0" hierarchy="6" level="1">
      <sharedItems count="3">
        <s v="Dengue Negative"/>
        <s v="High Risk"/>
        <s v="Low Risk"/>
      </sharedItems>
    </cacheField>
    <cacheField name="[Measures].[Count of Outcome]" caption="Count of Outcome" numFmtId="0" hierarchy="25" level="32767"/>
    <cacheField name="[Dataset].[Gender].[Gender]" caption="Gender" numFmtId="0" level="1">
      <sharedItems containsSemiMixedTypes="0" containsNonDate="0" containsString="0"/>
    </cacheField>
  </cacheFields>
  <cacheHierarchies count="32">
    <cacheHierarchy uniqueName="[Dataset].[Gender]" caption="Gender" attribute="1" defaultMemberUniqueName="[Dataset].[Gender].[All]" allUniqueName="[Dataset].[Gender].[All]" dimensionUniqueName="[Dataset]" displayFolder="" count="2" memberValueDatatype="130" unbalanced="0">
      <fieldsUsage count="2">
        <fieldUsage x="-1"/>
        <fieldUsage x="2"/>
      </fieldsUsage>
    </cacheHierarchy>
    <cacheHierarchy uniqueName="[Dataset].[Age]" caption="Age" attribute="1" defaultMemberUniqueName="[Dataset].[Age].[All]" allUniqueName="[Dataset].[Age].[All]" dimensionUniqueName="[Dataset]" displayFolder="" count="0" memberValueDatatype="20" unbalanced="0"/>
    <cacheHierarchy uniqueName="[Dataset].[Age Group]" caption="Age Group" attribute="1" defaultMemberUniqueName="[Dataset].[Age Group].[All]" allUniqueName="[Dataset].[Age Group].[All]" dimensionUniqueName="[Dataset]" displayFolder="" count="0" memberValueDatatype="130" unbalanced="0"/>
    <cacheHierarchy uniqueName="[Dataset].[NS1]" caption="NS1" attribute="1" defaultMemberUniqueName="[Dataset].[NS1].[All]" allUniqueName="[Dataset].[NS1].[All]" dimensionUniqueName="[Dataset]" displayFolder="" count="0" memberValueDatatype="20" unbalanced="0"/>
    <cacheHierarchy uniqueName="[Dataset].[IgG]" caption="IgG" attribute="1" defaultMemberUniqueName="[Dataset].[IgG].[All]" allUniqueName="[Dataset].[IgG].[All]" dimensionUniqueName="[Dataset]" displayFolder="" count="0" memberValueDatatype="20" unbalanced="0"/>
    <cacheHierarchy uniqueName="[Dataset].[IgM]" caption="IgM" attribute="1" defaultMemberUniqueName="[Dataset].[IgM].[All]" allUniqueName="[Dataset].[IgM].[All]" dimensionUniqueName="[Dataset]" displayFolder="" count="0" memberValueDatatype="20" unbalanced="0"/>
    <cacheHierarchy uniqueName="[Dataset].[Risk Type]" caption="Risk Type" attribute="1" defaultMemberUniqueName="[Dataset].[Risk Type].[All]" allUniqueName="[Dataset].[Risk Type].[All]" dimensionUniqueName="[Dataset]" displayFolder="" count="2" memberValueDatatype="130" unbalanced="0">
      <fieldsUsage count="2">
        <fieldUsage x="-1"/>
        <fieldUsage x="0"/>
      </fieldsUsage>
    </cacheHierarchy>
    <cacheHierarchy uniqueName="[Dataset].[Area]" caption="Area" attribute="1" defaultMemberUniqueName="[Dataset].[Area].[All]" allUniqueName="[Dataset].[Area].[All]" dimensionUniqueName="[Dataset]" displayFolder="" count="0" memberValueDatatype="130" unbalanced="0"/>
    <cacheHierarchy uniqueName="[Dataset].[AreaType]" caption="AreaType" attribute="1" defaultMemberUniqueName="[Dataset].[AreaType].[All]" allUniqueName="[Dataset].[AreaType].[All]" dimensionUniqueName="[Dataset]" displayFolder="" count="2" memberValueDatatype="130" unbalanced="0"/>
    <cacheHierarchy uniqueName="[Dataset].[HouseType]" caption="HouseType" attribute="1" defaultMemberUniqueName="[Dataset].[HouseType].[All]" allUniqueName="[Dataset].[HouseType].[All]" dimensionUniqueName="[Dataset]" displayFolder="" count="2" memberValueDatatype="130" unbalanced="0"/>
    <cacheHierarchy uniqueName="[Dataset].[Outcome]" caption="Outcome" attribute="1" defaultMemberUniqueName="[Dataset].[Outcome].[All]" allUniqueName="[Dataset].[Outcome].[All]" dimensionUniqueName="[Dataset]" displayFolder="" count="0" memberValueDatatype="20" unbalanced="0"/>
    <cacheHierarchy uniqueName="[Measures].[NS1_Positivity_Rate]" caption="NS1_Positivity_Rate" measure="1" displayFolder="" measureGroup="Dataset" count="0"/>
    <cacheHierarchy uniqueName="[Measures].[IgG_Positivity_Rate]" caption="IgG_Positivity_Rate" measure="1" displayFolder="" measureGroup="Dataset" count="0"/>
    <cacheHierarchy uniqueName="[Measures].[IgM_Positivity_Rate]" caption="IgM_Positivity_Rate" measure="1" displayFolder="" measureGroup="Dataset" count="0"/>
    <cacheHierarchy uniqueName="[Measures].[Dengue Positivity Rate (%)]" caption="Dengue Positivity Rate (%)" measure="1" displayFolder="" measureGroup="Dataset" count="0"/>
    <cacheHierarchy uniqueName="[Measures].[Total_Dengue_Cases]" caption="Total_Dengue_Cases" measure="1" displayFolder="" measureGroup="Dataset" count="0"/>
    <cacheHierarchy uniqueName="[Measures].[Confirmed_NS1_Positives]" caption="Confirmed_NS1_Positives" measure="1" displayFolder="" measureGroup="Dataset" count="0"/>
    <cacheHierarchy uniqueName="[Measures].[Confirmed_IgG_Positives]" caption="Confirmed_IgG_Positives" measure="1" displayFolder="" measureGroup="Dataset" count="0"/>
    <cacheHierarchy uniqueName="[Measures].[Confirmed_IgM_Positives]" caption="Confirmed_IgM_Positives" measure="1" displayFolder="" measureGroup="Dataset" count="0"/>
    <cacheHierarchy uniqueName="[Measures].[NS1_Effectiveness]" caption="NS1_Effectiveness" measure="1" displayFolder="" measureGroup="Dataset" count="0"/>
    <cacheHierarchy uniqueName="[Measures].[IgG_Effectiveness]" caption="IgG_Effectiveness" measure="1" displayFolder="" measureGroup="Dataset" count="0"/>
    <cacheHierarchy uniqueName="[Measures].[IgM_Effectiveness]" caption="IgM_Effectiveness" measure="1" displayFolder="" measureGroup="Dataset" count="0"/>
    <cacheHierarchy uniqueName="[Measures].[__XL_Count Dataset]" caption="__XL_Count Dataset" measure="1" displayFolder="" measureGroup="Dataset" count="0" hidden="1"/>
    <cacheHierarchy uniqueName="[Measures].[__No measures defined]" caption="__No measures defined" measure="1" displayFolder="" count="0" hidden="1"/>
    <cacheHierarchy uniqueName="[Measures].[Sum of Outcome]" caption="Sum of Outcome" measure="1" displayFolder="" measureGroup="Dataset" count="0" hidden="1">
      <extLst>
        <ext xmlns:x15="http://schemas.microsoft.com/office/spreadsheetml/2010/11/main" uri="{B97F6D7D-B522-45F9-BDA1-12C45D357490}">
          <x15:cacheHierarchy aggregatedColumn="10"/>
        </ext>
      </extLst>
    </cacheHierarchy>
    <cacheHierarchy uniqueName="[Measures].[Count of Outcome]" caption="Count of Outcome" measure="1" displayFolder="" measureGroup="Dataset" count="0" oneField="1" hidden="1">
      <fieldsUsage count="1">
        <fieldUsage x="1"/>
      </fieldsUsage>
      <extLst>
        <ext xmlns:x15="http://schemas.microsoft.com/office/spreadsheetml/2010/11/main" uri="{B97F6D7D-B522-45F9-BDA1-12C45D357490}">
          <x15:cacheHierarchy aggregatedColumn="10"/>
        </ext>
      </extLst>
    </cacheHierarchy>
    <cacheHierarchy uniqueName="[Measures].[Average of Outcome]" caption="Average of Outcome" measure="1" displayFolder="" measureGroup="Dataset" count="0" hidden="1">
      <extLst>
        <ext xmlns:x15="http://schemas.microsoft.com/office/spreadsheetml/2010/11/main" uri="{B97F6D7D-B522-45F9-BDA1-12C45D357490}">
          <x15:cacheHierarchy aggregatedColumn="10"/>
        </ext>
      </extLst>
    </cacheHierarchy>
    <cacheHierarchy uniqueName="[Measures].[Sum of NS1]" caption="Sum of NS1" measure="1" displayFolder="" measureGroup="Dataset" count="0" hidden="1">
      <extLst>
        <ext xmlns:x15="http://schemas.microsoft.com/office/spreadsheetml/2010/11/main" uri="{B97F6D7D-B522-45F9-BDA1-12C45D357490}">
          <x15:cacheHierarchy aggregatedColumn="3"/>
        </ext>
      </extLst>
    </cacheHierarchy>
    <cacheHierarchy uniqueName="[Measures].[Sum of IgG]" caption="Sum of IgG" measure="1" displayFolder="" measureGroup="Dataset" count="0" hidden="1">
      <extLst>
        <ext xmlns:x15="http://schemas.microsoft.com/office/spreadsheetml/2010/11/main" uri="{B97F6D7D-B522-45F9-BDA1-12C45D357490}">
          <x15:cacheHierarchy aggregatedColumn="4"/>
        </ext>
      </extLst>
    </cacheHierarchy>
    <cacheHierarchy uniqueName="[Measures].[Sum of IgM]" caption="Sum of IgM" measure="1" displayFolder="" measureGroup="Dataset"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ataset" count="0" hidden="1">
      <extLst>
        <ext xmlns:x15="http://schemas.microsoft.com/office/spreadsheetml/2010/11/main" uri="{B97F6D7D-B522-45F9-BDA1-12C45D357490}">
          <x15:cacheHierarchy aggregatedColumn="1"/>
        </ext>
      </extLst>
    </cacheHierarchy>
    <cacheHierarchy uniqueName="[Measures].[Average of Age]" caption="Average of Age" measure="1" displayFolder="" measureGroup="Dataset" count="0" hidden="1">
      <extLst>
        <ext xmlns:x15="http://schemas.microsoft.com/office/spreadsheetml/2010/11/main" uri="{B97F6D7D-B522-45F9-BDA1-12C45D357490}">
          <x15:cacheHierarchy aggregatedColumn="1"/>
        </ext>
      </extLst>
    </cacheHierarchy>
  </cacheHierarchies>
  <kpis count="0"/>
  <dimensions count="2">
    <dimension name="Dataset" uniqueName="[Dataset]" caption="Dataset"/>
    <dimension measure="1" name="Measures" uniqueName="[Measures]" caption="Measures"/>
  </dimensions>
  <measureGroups count="1">
    <measureGroup name="Dataset" caption="Datase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ehedi Hasan" refreshedDate="45691.02461226852" backgroundQuery="1" createdVersion="7" refreshedVersion="7" minRefreshableVersion="3" recordCount="0" supportSubquery="1" supportAdvancedDrill="1" xr:uid="{5D6C4A1B-92E0-42B9-98B6-D0165B22EDF7}">
  <cacheSource type="external" connectionId="3"/>
  <cacheFields count="5">
    <cacheField name="[Dataset].[NS1].[NS1]" caption="NS1" numFmtId="0" hierarchy="3" level="1">
      <sharedItems containsSemiMixedTypes="0" containsString="0" containsNumber="1" containsInteger="1" minValue="0" maxValue="1" count="2">
        <n v="0"/>
        <n v="1"/>
      </sharedItems>
      <extLst>
        <ext xmlns:x15="http://schemas.microsoft.com/office/spreadsheetml/2010/11/main" uri="{4F2E5C28-24EA-4eb8-9CBF-B6C8F9C3D259}">
          <x15:cachedUniqueNames>
            <x15:cachedUniqueName index="0" name="[Dataset].[NS1].&amp;[0]"/>
            <x15:cachedUniqueName index="1" name="[Dataset].[NS1].&amp;[1]"/>
          </x15:cachedUniqueNames>
        </ext>
      </extLst>
    </cacheField>
    <cacheField name="[Dataset].[IgG].[IgG]" caption="IgG" numFmtId="0" hierarchy="4" level="1">
      <sharedItems containsSemiMixedTypes="0" containsString="0" containsNumber="1" containsInteger="1" minValue="0" maxValue="1" count="2">
        <n v="0"/>
        <n v="1"/>
      </sharedItems>
      <extLst>
        <ext xmlns:x15="http://schemas.microsoft.com/office/spreadsheetml/2010/11/main" uri="{4F2E5C28-24EA-4eb8-9CBF-B6C8F9C3D259}">
          <x15:cachedUniqueNames>
            <x15:cachedUniqueName index="0" name="[Dataset].[IgG].&amp;[0]"/>
            <x15:cachedUniqueName index="1" name="[Dataset].[IgG].&amp;[1]"/>
          </x15:cachedUniqueNames>
        </ext>
      </extLst>
    </cacheField>
    <cacheField name="[Dataset].[IgM].[IgM]" caption="IgM" numFmtId="0" hierarchy="5" level="1">
      <sharedItems containsSemiMixedTypes="0" containsString="0" containsNumber="1" containsInteger="1" minValue="0" maxValue="1" count="2">
        <n v="0"/>
        <n v="1"/>
      </sharedItems>
      <extLst>
        <ext xmlns:x15="http://schemas.microsoft.com/office/spreadsheetml/2010/11/main" uri="{4F2E5C28-24EA-4eb8-9CBF-B6C8F9C3D259}">
          <x15:cachedUniqueNames>
            <x15:cachedUniqueName index="0" name="[Dataset].[IgM].&amp;[0]"/>
            <x15:cachedUniqueName index="1" name="[Dataset].[IgM].&amp;[1]"/>
          </x15:cachedUniqueNames>
        </ext>
      </extLst>
    </cacheField>
    <cacheField name="[Measures].[Count of Outcome]" caption="Count of Outcome" numFmtId="0" hierarchy="25" level="32767"/>
    <cacheField name="[Dataset].[Gender].[Gender]" caption="Gender" numFmtId="0" level="1">
      <sharedItems containsSemiMixedTypes="0" containsNonDate="0" containsString="0"/>
    </cacheField>
  </cacheFields>
  <cacheHierarchies count="32">
    <cacheHierarchy uniqueName="[Dataset].[Gender]" caption="Gender" attribute="1" defaultMemberUniqueName="[Dataset].[Gender].[All]" allUniqueName="[Dataset].[Gender].[All]" dimensionUniqueName="[Dataset]" displayFolder="" count="2" memberValueDatatype="130" unbalanced="0">
      <fieldsUsage count="2">
        <fieldUsage x="-1"/>
        <fieldUsage x="4"/>
      </fieldsUsage>
    </cacheHierarchy>
    <cacheHierarchy uniqueName="[Dataset].[Age]" caption="Age" attribute="1" defaultMemberUniqueName="[Dataset].[Age].[All]" allUniqueName="[Dataset].[Age].[All]" dimensionUniqueName="[Dataset]" displayFolder="" count="0" memberValueDatatype="20" unbalanced="0"/>
    <cacheHierarchy uniqueName="[Dataset].[Age Group]" caption="Age Group" attribute="1" defaultMemberUniqueName="[Dataset].[Age Group].[All]" allUniqueName="[Dataset].[Age Group].[All]" dimensionUniqueName="[Dataset]" displayFolder="" count="0" memberValueDatatype="130" unbalanced="0"/>
    <cacheHierarchy uniqueName="[Dataset].[NS1]" caption="NS1" attribute="1" defaultMemberUniqueName="[Dataset].[NS1].[All]" allUniqueName="[Dataset].[NS1].[All]" dimensionUniqueName="[Dataset]" displayFolder="" count="2" memberValueDatatype="20" unbalanced="0">
      <fieldsUsage count="2">
        <fieldUsage x="-1"/>
        <fieldUsage x="0"/>
      </fieldsUsage>
    </cacheHierarchy>
    <cacheHierarchy uniqueName="[Dataset].[IgG]" caption="IgG" attribute="1" defaultMemberUniqueName="[Dataset].[IgG].[All]" allUniqueName="[Dataset].[IgG].[All]" dimensionUniqueName="[Dataset]" displayFolder="" count="2" memberValueDatatype="20" unbalanced="0">
      <fieldsUsage count="2">
        <fieldUsage x="-1"/>
        <fieldUsage x="1"/>
      </fieldsUsage>
    </cacheHierarchy>
    <cacheHierarchy uniqueName="[Dataset].[IgM]" caption="IgM" attribute="1" defaultMemberUniqueName="[Dataset].[IgM].[All]" allUniqueName="[Dataset].[IgM].[All]" dimensionUniqueName="[Dataset]" displayFolder="" count="2" memberValueDatatype="20" unbalanced="0">
      <fieldsUsage count="2">
        <fieldUsage x="-1"/>
        <fieldUsage x="2"/>
      </fieldsUsage>
    </cacheHierarchy>
    <cacheHierarchy uniqueName="[Dataset].[Risk Type]" caption="Risk Type" attribute="1" defaultMemberUniqueName="[Dataset].[Risk Type].[All]" allUniqueName="[Dataset].[Risk Type].[All]" dimensionUniqueName="[Dataset]" displayFolder="" count="0" memberValueDatatype="130" unbalanced="0"/>
    <cacheHierarchy uniqueName="[Dataset].[Area]" caption="Area" attribute="1" defaultMemberUniqueName="[Dataset].[Area].[All]" allUniqueName="[Dataset].[Area].[All]" dimensionUniqueName="[Dataset]" displayFolder="" count="0" memberValueDatatype="130" unbalanced="0"/>
    <cacheHierarchy uniqueName="[Dataset].[AreaType]" caption="AreaType" attribute="1" defaultMemberUniqueName="[Dataset].[AreaType].[All]" allUniqueName="[Dataset].[AreaType].[All]" dimensionUniqueName="[Dataset]" displayFolder="" count="2" memberValueDatatype="130" unbalanced="0"/>
    <cacheHierarchy uniqueName="[Dataset].[HouseType]" caption="HouseType" attribute="1" defaultMemberUniqueName="[Dataset].[HouseType].[All]" allUniqueName="[Dataset].[HouseType].[All]" dimensionUniqueName="[Dataset]" displayFolder="" count="2" memberValueDatatype="130" unbalanced="0"/>
    <cacheHierarchy uniqueName="[Dataset].[Outcome]" caption="Outcome" attribute="1" defaultMemberUniqueName="[Dataset].[Outcome].[All]" allUniqueName="[Dataset].[Outcome].[All]" dimensionUniqueName="[Dataset]" displayFolder="" count="0" memberValueDatatype="20" unbalanced="0"/>
    <cacheHierarchy uniqueName="[Measures].[NS1_Positivity_Rate]" caption="NS1_Positivity_Rate" measure="1" displayFolder="" measureGroup="Dataset" count="0"/>
    <cacheHierarchy uniqueName="[Measures].[IgG_Positivity_Rate]" caption="IgG_Positivity_Rate" measure="1" displayFolder="" measureGroup="Dataset" count="0"/>
    <cacheHierarchy uniqueName="[Measures].[IgM_Positivity_Rate]" caption="IgM_Positivity_Rate" measure="1" displayFolder="" measureGroup="Dataset" count="0"/>
    <cacheHierarchy uniqueName="[Measures].[Dengue Positivity Rate (%)]" caption="Dengue Positivity Rate (%)" measure="1" displayFolder="" measureGroup="Dataset" count="0"/>
    <cacheHierarchy uniqueName="[Measures].[Total_Dengue_Cases]" caption="Total_Dengue_Cases" measure="1" displayFolder="" measureGroup="Dataset" count="0"/>
    <cacheHierarchy uniqueName="[Measures].[Confirmed_NS1_Positives]" caption="Confirmed_NS1_Positives" measure="1" displayFolder="" measureGroup="Dataset" count="0"/>
    <cacheHierarchy uniqueName="[Measures].[Confirmed_IgG_Positives]" caption="Confirmed_IgG_Positives" measure="1" displayFolder="" measureGroup="Dataset" count="0"/>
    <cacheHierarchy uniqueName="[Measures].[Confirmed_IgM_Positives]" caption="Confirmed_IgM_Positives" measure="1" displayFolder="" measureGroup="Dataset" count="0"/>
    <cacheHierarchy uniqueName="[Measures].[NS1_Effectiveness]" caption="NS1_Effectiveness" measure="1" displayFolder="" measureGroup="Dataset" count="0"/>
    <cacheHierarchy uniqueName="[Measures].[IgG_Effectiveness]" caption="IgG_Effectiveness" measure="1" displayFolder="" measureGroup="Dataset" count="0"/>
    <cacheHierarchy uniqueName="[Measures].[IgM_Effectiveness]" caption="IgM_Effectiveness" measure="1" displayFolder="" measureGroup="Dataset" count="0"/>
    <cacheHierarchy uniqueName="[Measures].[__XL_Count Dataset]" caption="__XL_Count Dataset" measure="1" displayFolder="" measureGroup="Dataset" count="0" hidden="1"/>
    <cacheHierarchy uniqueName="[Measures].[__No measures defined]" caption="__No measures defined" measure="1" displayFolder="" count="0" hidden="1"/>
    <cacheHierarchy uniqueName="[Measures].[Sum of Outcome]" caption="Sum of Outcome" measure="1" displayFolder="" measureGroup="Dataset" count="0" hidden="1">
      <extLst>
        <ext xmlns:x15="http://schemas.microsoft.com/office/spreadsheetml/2010/11/main" uri="{B97F6D7D-B522-45F9-BDA1-12C45D357490}">
          <x15:cacheHierarchy aggregatedColumn="10"/>
        </ext>
      </extLst>
    </cacheHierarchy>
    <cacheHierarchy uniqueName="[Measures].[Count of Outcome]" caption="Count of Outcome" measure="1" displayFolder="" measureGroup="Dataset" count="0" oneField="1" hidden="1">
      <fieldsUsage count="1">
        <fieldUsage x="3"/>
      </fieldsUsage>
      <extLst>
        <ext xmlns:x15="http://schemas.microsoft.com/office/spreadsheetml/2010/11/main" uri="{B97F6D7D-B522-45F9-BDA1-12C45D357490}">
          <x15:cacheHierarchy aggregatedColumn="10"/>
        </ext>
      </extLst>
    </cacheHierarchy>
    <cacheHierarchy uniqueName="[Measures].[Average of Outcome]" caption="Average of Outcome" measure="1" displayFolder="" measureGroup="Dataset" count="0" hidden="1">
      <extLst>
        <ext xmlns:x15="http://schemas.microsoft.com/office/spreadsheetml/2010/11/main" uri="{B97F6D7D-B522-45F9-BDA1-12C45D357490}">
          <x15:cacheHierarchy aggregatedColumn="10"/>
        </ext>
      </extLst>
    </cacheHierarchy>
    <cacheHierarchy uniqueName="[Measures].[Sum of NS1]" caption="Sum of NS1" measure="1" displayFolder="" measureGroup="Dataset" count="0" hidden="1">
      <extLst>
        <ext xmlns:x15="http://schemas.microsoft.com/office/spreadsheetml/2010/11/main" uri="{B97F6D7D-B522-45F9-BDA1-12C45D357490}">
          <x15:cacheHierarchy aggregatedColumn="3"/>
        </ext>
      </extLst>
    </cacheHierarchy>
    <cacheHierarchy uniqueName="[Measures].[Sum of IgG]" caption="Sum of IgG" measure="1" displayFolder="" measureGroup="Dataset" count="0" hidden="1">
      <extLst>
        <ext xmlns:x15="http://schemas.microsoft.com/office/spreadsheetml/2010/11/main" uri="{B97F6D7D-B522-45F9-BDA1-12C45D357490}">
          <x15:cacheHierarchy aggregatedColumn="4"/>
        </ext>
      </extLst>
    </cacheHierarchy>
    <cacheHierarchy uniqueName="[Measures].[Sum of IgM]" caption="Sum of IgM" measure="1" displayFolder="" measureGroup="Dataset"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ataset" count="0" hidden="1">
      <extLst>
        <ext xmlns:x15="http://schemas.microsoft.com/office/spreadsheetml/2010/11/main" uri="{B97F6D7D-B522-45F9-BDA1-12C45D357490}">
          <x15:cacheHierarchy aggregatedColumn="1"/>
        </ext>
      </extLst>
    </cacheHierarchy>
    <cacheHierarchy uniqueName="[Measures].[Average of Age]" caption="Average of Age" measure="1" displayFolder="" measureGroup="Dataset" count="0" hidden="1">
      <extLst>
        <ext xmlns:x15="http://schemas.microsoft.com/office/spreadsheetml/2010/11/main" uri="{B97F6D7D-B522-45F9-BDA1-12C45D357490}">
          <x15:cacheHierarchy aggregatedColumn="1"/>
        </ext>
      </extLst>
    </cacheHierarchy>
  </cacheHierarchies>
  <kpis count="0"/>
  <dimensions count="2">
    <dimension name="Dataset" uniqueName="[Dataset]" caption="Dataset"/>
    <dimension measure="1" name="Measures" uniqueName="[Measures]" caption="Measures"/>
  </dimensions>
  <measureGroups count="1">
    <measureGroup name="Dataset" caption="Datase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ehedi Hasan" refreshedDate="45690.103082175927" backgroundQuery="1" createdVersion="3" refreshedVersion="7" minRefreshableVersion="3" recordCount="0" supportSubquery="1" supportAdvancedDrill="1" xr:uid="{F4014EBB-B6C5-43CC-905F-DEB1D41ECE07}">
  <cacheSource type="external" connectionId="3">
    <extLst>
      <ext xmlns:x14="http://schemas.microsoft.com/office/spreadsheetml/2009/9/main" uri="{F057638F-6D5F-4e77-A914-E7F072B9BCA8}">
        <x14:sourceConnection name="ThisWorkbookDataModel"/>
      </ext>
    </extLst>
  </cacheSource>
  <cacheFields count="0"/>
  <cacheHierarchies count="32">
    <cacheHierarchy uniqueName="[Dataset].[Gender]" caption="Gender" attribute="1" defaultMemberUniqueName="[Dataset].[Gender].[All]" allUniqueName="[Dataset].[Gender].[All]" dimensionUniqueName="[Dataset]" displayFolder="" count="2" memberValueDatatype="130" unbalanced="0"/>
    <cacheHierarchy uniqueName="[Dataset].[Age]" caption="Age" attribute="1" defaultMemberUniqueName="[Dataset].[Age].[All]" allUniqueName="[Dataset].[Age].[All]" dimensionUniqueName="[Dataset]" displayFolder="" count="0" memberValueDatatype="20" unbalanced="0"/>
    <cacheHierarchy uniqueName="[Dataset].[Age Group]" caption="Age Group" attribute="1" defaultMemberUniqueName="[Dataset].[Age Group].[All]" allUniqueName="[Dataset].[Age Group].[All]" dimensionUniqueName="[Dataset]" displayFolder="" count="0" memberValueDatatype="130" unbalanced="0"/>
    <cacheHierarchy uniqueName="[Dataset].[NS1]" caption="NS1" attribute="1" defaultMemberUniqueName="[Dataset].[NS1].[All]" allUniqueName="[Dataset].[NS1].[All]" dimensionUniqueName="[Dataset]" displayFolder="" count="0" memberValueDatatype="20" unbalanced="0"/>
    <cacheHierarchy uniqueName="[Dataset].[IgG]" caption="IgG" attribute="1" defaultMemberUniqueName="[Dataset].[IgG].[All]" allUniqueName="[Dataset].[IgG].[All]" dimensionUniqueName="[Dataset]" displayFolder="" count="0" memberValueDatatype="20" unbalanced="0"/>
    <cacheHierarchy uniqueName="[Dataset].[IgM]" caption="IgM" attribute="1" defaultMemberUniqueName="[Dataset].[IgM].[All]" allUniqueName="[Dataset].[IgM].[All]" dimensionUniqueName="[Dataset]" displayFolder="" count="0" memberValueDatatype="20" unbalanced="0"/>
    <cacheHierarchy uniqueName="[Dataset].[Risk Type]" caption="Risk Type" attribute="1" defaultMemberUniqueName="[Dataset].[Risk Type].[All]" allUniqueName="[Dataset].[Risk Type].[All]" dimensionUniqueName="[Dataset]" displayFolder="" count="0" memberValueDatatype="130" unbalanced="0"/>
    <cacheHierarchy uniqueName="[Dataset].[Area]" caption="Area" attribute="1" defaultMemberUniqueName="[Dataset].[Area].[All]" allUniqueName="[Dataset].[Area].[All]" dimensionUniqueName="[Dataset]" displayFolder="" count="0" memberValueDatatype="130" unbalanced="0"/>
    <cacheHierarchy uniqueName="[Dataset].[AreaType]" caption="AreaType" attribute="1" defaultMemberUniqueName="[Dataset].[AreaType].[All]" allUniqueName="[Dataset].[AreaType].[All]" dimensionUniqueName="[Dataset]" displayFolder="" count="2" memberValueDatatype="130" unbalanced="0"/>
    <cacheHierarchy uniqueName="[Dataset].[HouseType]" caption="HouseType" attribute="1" defaultMemberUniqueName="[Dataset].[HouseType].[All]" allUniqueName="[Dataset].[HouseType].[All]" dimensionUniqueName="[Dataset]" displayFolder="" count="2" memberValueDatatype="130" unbalanced="0"/>
    <cacheHierarchy uniqueName="[Dataset].[Outcome]" caption="Outcome" attribute="1" defaultMemberUniqueName="[Dataset].[Outcome].[All]" allUniqueName="[Dataset].[Outcome].[All]" dimensionUniqueName="[Dataset]" displayFolder="" count="0" memberValueDatatype="20" unbalanced="0"/>
    <cacheHierarchy uniqueName="[Measures].[NS1_Positivity_Rate]" caption="NS1_Positivity_Rate" measure="1" displayFolder="" measureGroup="Dataset" count="0"/>
    <cacheHierarchy uniqueName="[Measures].[IgG_Positivity_Rate]" caption="IgG_Positivity_Rate" measure="1" displayFolder="" measureGroup="Dataset" count="0"/>
    <cacheHierarchy uniqueName="[Measures].[IgM_Positivity_Rate]" caption="IgM_Positivity_Rate" measure="1" displayFolder="" measureGroup="Dataset" count="0"/>
    <cacheHierarchy uniqueName="[Measures].[Dengue Positivity Rate (%)]" caption="Dengue Positivity Rate (%)" measure="1" displayFolder="" measureGroup="Dataset" count="0"/>
    <cacheHierarchy uniqueName="[Measures].[Total_Dengue_Cases]" caption="Total_Dengue_Cases" measure="1" displayFolder="" measureGroup="Dataset" count="0"/>
    <cacheHierarchy uniqueName="[Measures].[Confirmed_NS1_Positives]" caption="Confirmed_NS1_Positives" measure="1" displayFolder="" measureGroup="Dataset" count="0"/>
    <cacheHierarchy uniqueName="[Measures].[Confirmed_IgG_Positives]" caption="Confirmed_IgG_Positives" measure="1" displayFolder="" measureGroup="Dataset" count="0"/>
    <cacheHierarchy uniqueName="[Measures].[Confirmed_IgM_Positives]" caption="Confirmed_IgM_Positives" measure="1" displayFolder="" measureGroup="Dataset" count="0"/>
    <cacheHierarchy uniqueName="[Measures].[NS1_Effectiveness]" caption="NS1_Effectiveness" measure="1" displayFolder="" measureGroup="Dataset" count="0"/>
    <cacheHierarchy uniqueName="[Measures].[IgG_Effectiveness]" caption="IgG_Effectiveness" measure="1" displayFolder="" measureGroup="Dataset" count="0"/>
    <cacheHierarchy uniqueName="[Measures].[IgM_Effectiveness]" caption="IgM_Effectiveness" measure="1" displayFolder="" measureGroup="Dataset" count="0"/>
    <cacheHierarchy uniqueName="[Measures].[__XL_Count Dataset]" caption="__XL_Count Dataset" measure="1" displayFolder="" measureGroup="Dataset" count="0" hidden="1"/>
    <cacheHierarchy uniqueName="[Measures].[__No measures defined]" caption="__No measures defined" measure="1" displayFolder="" count="0" hidden="1"/>
    <cacheHierarchy uniqueName="[Measures].[Sum of Outcome]" caption="Sum of Outcome" measure="1" displayFolder="" measureGroup="Dataset" count="0" hidden="1">
      <extLst>
        <ext xmlns:x15="http://schemas.microsoft.com/office/spreadsheetml/2010/11/main" uri="{B97F6D7D-B522-45F9-BDA1-12C45D357490}">
          <x15:cacheHierarchy aggregatedColumn="10"/>
        </ext>
      </extLst>
    </cacheHierarchy>
    <cacheHierarchy uniqueName="[Measures].[Count of Outcome]" caption="Count of Outcome" measure="1" displayFolder="" measureGroup="Dataset" count="0" hidden="1">
      <extLst>
        <ext xmlns:x15="http://schemas.microsoft.com/office/spreadsheetml/2010/11/main" uri="{B97F6D7D-B522-45F9-BDA1-12C45D357490}">
          <x15:cacheHierarchy aggregatedColumn="10"/>
        </ext>
      </extLst>
    </cacheHierarchy>
    <cacheHierarchy uniqueName="[Measures].[Average of Outcome]" caption="Average of Outcome" measure="1" displayFolder="" measureGroup="Dataset" count="0" hidden="1">
      <extLst>
        <ext xmlns:x15="http://schemas.microsoft.com/office/spreadsheetml/2010/11/main" uri="{B97F6D7D-B522-45F9-BDA1-12C45D357490}">
          <x15:cacheHierarchy aggregatedColumn="10"/>
        </ext>
      </extLst>
    </cacheHierarchy>
    <cacheHierarchy uniqueName="[Measures].[Sum of NS1]" caption="Sum of NS1" measure="1" displayFolder="" measureGroup="Dataset" count="0" hidden="1">
      <extLst>
        <ext xmlns:x15="http://schemas.microsoft.com/office/spreadsheetml/2010/11/main" uri="{B97F6D7D-B522-45F9-BDA1-12C45D357490}">
          <x15:cacheHierarchy aggregatedColumn="3"/>
        </ext>
      </extLst>
    </cacheHierarchy>
    <cacheHierarchy uniqueName="[Measures].[Sum of IgG]" caption="Sum of IgG" measure="1" displayFolder="" measureGroup="Dataset" count="0" hidden="1">
      <extLst>
        <ext xmlns:x15="http://schemas.microsoft.com/office/spreadsheetml/2010/11/main" uri="{B97F6D7D-B522-45F9-BDA1-12C45D357490}">
          <x15:cacheHierarchy aggregatedColumn="4"/>
        </ext>
      </extLst>
    </cacheHierarchy>
    <cacheHierarchy uniqueName="[Measures].[Sum of IgM]" caption="Sum of IgM" measure="1" displayFolder="" measureGroup="Dataset"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ataset" count="0" hidden="1">
      <extLst>
        <ext xmlns:x15="http://schemas.microsoft.com/office/spreadsheetml/2010/11/main" uri="{B97F6D7D-B522-45F9-BDA1-12C45D357490}">
          <x15:cacheHierarchy aggregatedColumn="1"/>
        </ext>
      </extLst>
    </cacheHierarchy>
    <cacheHierarchy uniqueName="[Measures].[Average of Age]" caption="Average of Age" measure="1" displayFolder="" measureGroup="Dataset" count="0" hidden="1">
      <extLst>
        <ext xmlns:x15="http://schemas.microsoft.com/office/spreadsheetml/2010/11/main" uri="{B97F6D7D-B522-45F9-BDA1-12C45D357490}">
          <x15:cacheHierarchy aggregatedColumn="1"/>
        </ext>
      </extLst>
    </cacheHierarchy>
  </cacheHierarchies>
  <kpis count="0"/>
  <extLst>
    <ext xmlns:x14="http://schemas.microsoft.com/office/spreadsheetml/2009/9/main" uri="{725AE2AE-9491-48be-B2B4-4EB974FC3084}">
      <x14:pivotCacheDefinition slicerData="1" pivotCacheId="58353446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8AC5281-8EA0-4849-8202-19913D608316}" name="PivotTable7" cacheId="2359" applyNumberFormats="0" applyBorderFormats="0" applyFontFormats="0" applyPatternFormats="0" applyAlignmentFormats="0" applyWidthHeightFormats="1" dataCaption="Values" tag="35f6eb93-43e3-46b9-96cf-56ad470a2482" updatedVersion="7" minRefreshableVersion="3" useAutoFormatting="1" subtotalHiddenItems="1" rowGrandTotals="0" colGrandTotals="0" itemPrintTitles="1" createdVersion="7" indent="0" outline="1" outlineData="1" multipleFieldFilters="0" chartFormat="1" rowHeaderCaption="HouseType">
  <location ref="A35:B38"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3">
    <i>
      <x/>
    </i>
    <i>
      <x v="1"/>
    </i>
    <i>
      <x v="2"/>
    </i>
  </rowItems>
  <colItems count="1">
    <i/>
  </colItems>
  <dataFields count="1">
    <dataField name="Percentage of Dengue Positive" fld="1" showDataAs="percentOfTotal" baseField="0" baseItem="0" numFmtId="10"/>
  </dataFields>
  <formats count="15">
    <format dxfId="26">
      <pivotArea type="all" dataOnly="0" outline="0" fieldPosition="0"/>
    </format>
    <format dxfId="25">
      <pivotArea outline="0" collapsedLevelsAreSubtotals="1" fieldPosition="0"/>
    </format>
    <format dxfId="24">
      <pivotArea dataOnly="0" labelOnly="1" outline="0" axis="axisValues" fieldPosition="0"/>
    </format>
    <format dxfId="23">
      <pivotArea type="all" dataOnly="0" outline="0" fieldPosition="0"/>
    </format>
    <format dxfId="22">
      <pivotArea outline="0" collapsedLevelsAreSubtotals="1" fieldPosition="0"/>
    </format>
    <format dxfId="21">
      <pivotArea dataOnly="0" labelOnly="1" outline="0" axis="axisValues" fieldPosition="0"/>
    </format>
    <format dxfId="20">
      <pivotArea dataOnly="0" labelOnly="1" outline="0" axis="axisValues" fieldPosition="0"/>
    </format>
    <format dxfId="19">
      <pivotArea type="all" dataOnly="0" outline="0" fieldPosition="0"/>
    </format>
    <format dxfId="18">
      <pivotArea outline="0" collapsedLevelsAreSubtotals="1" fieldPosition="0"/>
    </format>
    <format dxfId="17">
      <pivotArea dataOnly="0" labelOnly="1" outline="0" axis="axisValues" fieldPosition="0"/>
    </format>
    <format dxfId="16">
      <pivotArea type="all" dataOnly="0" outline="0" fieldPosition="0"/>
    </format>
    <format dxfId="15">
      <pivotArea outline="0" collapsedLevelsAreSubtotals="1" fieldPosition="0"/>
    </format>
    <format dxfId="14">
      <pivotArea outline="0" fieldPosition="0">
        <references count="1">
          <reference field="4294967294" count="1">
            <x v="0"/>
          </reference>
        </references>
      </pivotArea>
    </format>
    <format dxfId="13">
      <pivotArea collapsedLevelsAreSubtotals="1" fieldPosition="0">
        <references count="1">
          <reference field="0" count="1">
            <x v="2"/>
          </reference>
        </references>
      </pivotArea>
    </format>
    <format dxfId="12">
      <pivotArea collapsedLevelsAreSubtotals="1" fieldPosition="0">
        <references count="1">
          <reference field="0" count="2">
            <x v="0"/>
            <x v="1"/>
          </reference>
        </references>
      </pivotArea>
    </format>
  </formats>
  <chartFormats count="1">
    <chartFormat chart="0" format="0" series="1">
      <pivotArea type="data" outline="0" fieldPosition="0">
        <references count="1">
          <reference field="4294967294" count="1" selected="0">
            <x v="0"/>
          </reference>
        </references>
      </pivotArea>
    </chartFormat>
  </chartFormats>
  <pivotHierarchies count="32">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ercentage of Dengue Positive"/>
    <pivotHierarchy dragToData="1" caption="Total Tests"/>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ovid_data_Analysis.xlsx!Dataset">
        <x15:activeTabTopLevelEntity name="[Datas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37404E2-F098-4639-ACD3-9010C443400C}" name="TotalByHtype" cacheId="2356" applyNumberFormats="0" applyBorderFormats="0" applyFontFormats="0" applyPatternFormats="0" applyAlignmentFormats="0" applyWidthHeightFormats="1" dataCaption="Values" tag="bea73475-0be6-4e4d-b2c5-47ae76f8ea82" updatedVersion="7" minRefreshableVersion="3" useAutoFormatting="1" subtotalHiddenItems="1" rowGrandTotals="0" colGrandTotals="0" itemPrintTitles="1" createdVersion="7" indent="0" outline="1" outlineData="1" multipleFieldFilters="0" chartFormat="4" rowHeaderCaption="HouseType">
  <location ref="AZ4:BA7"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3">
    <i>
      <x/>
    </i>
    <i>
      <x v="1"/>
    </i>
    <i>
      <x v="2"/>
    </i>
  </rowItems>
  <colItems count="1">
    <i/>
  </colItems>
  <dataFields count="1">
    <dataField name="Total Dengue Positive" fld="1" baseField="0" baseItem="0"/>
  </dataFields>
  <formats count="13">
    <format dxfId="39">
      <pivotArea type="all" dataOnly="0" outline="0" fieldPosition="0"/>
    </format>
    <format dxfId="38">
      <pivotArea outline="0" collapsedLevelsAreSubtotals="1" fieldPosition="0"/>
    </format>
    <format dxfId="37">
      <pivotArea dataOnly="0" labelOnly="1" outline="0" axis="axisValues" fieldPosition="0"/>
    </format>
    <format dxfId="36">
      <pivotArea type="all" dataOnly="0" outline="0" fieldPosition="0"/>
    </format>
    <format dxfId="35">
      <pivotArea outline="0" collapsedLevelsAreSubtotals="1" fieldPosition="0"/>
    </format>
    <format dxfId="34">
      <pivotArea dataOnly="0" labelOnly="1" outline="0" axis="axisValues" fieldPosition="0"/>
    </format>
    <format dxfId="33">
      <pivotArea dataOnly="0" labelOnly="1" outline="0" axis="axisValues" fieldPosition="0"/>
    </format>
    <format dxfId="32">
      <pivotArea type="all" dataOnly="0" outline="0" fieldPosition="0"/>
    </format>
    <format dxfId="31">
      <pivotArea outline="0" collapsedLevelsAreSubtotals="1" fieldPosition="0"/>
    </format>
    <format dxfId="30">
      <pivotArea dataOnly="0" labelOnly="1" outline="0" axis="axisValues" fieldPosition="0"/>
    </format>
    <format dxfId="29">
      <pivotArea type="all" dataOnly="0" outline="0" fieldPosition="0"/>
    </format>
    <format dxfId="28">
      <pivotArea outline="0" collapsedLevelsAreSubtotals="1" fieldPosition="0"/>
    </format>
    <format dxfId="27">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s>
  <pivotHierarchies count="32">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Dengue Positive"/>
    <pivotHierarchy dragToData="1" caption="Total Tests"/>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ovid_data_Analysis.xlsx!Dataset">
        <x15:activeTabTopLevelEntity name="[Datas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B2FBF16-A1E3-46EE-80C9-89DE49838340}" name="AreaType&amp;HouseTypeT" cacheId="2349" applyNumberFormats="0" applyBorderFormats="0" applyFontFormats="0" applyPatternFormats="0" applyAlignmentFormats="0" applyWidthHeightFormats="1" dataCaption="Values" tag="f193174c-3caf-4cd0-b68e-fe3dc0f34d98" updatedVersion="7" minRefreshableVersion="3" useAutoFormatting="1" subtotalHiddenItems="1" rowGrandTotals="0" colGrandTotals="0" itemPrintTitles="1" createdVersion="7" indent="0" compact="0" compactData="0" multipleFieldFilters="0" chartFormat="30" rowHeaderCaption="Gender">
  <location ref="E5:G11" firstHeaderRow="1" firstDataRow="1" firstDataCol="2"/>
  <pivotFields count="4">
    <pivotField axis="axisRow" compact="0"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2">
    <field x="0"/>
    <field x="1"/>
  </rowFields>
  <rowItems count="6">
    <i>
      <x/>
      <x/>
    </i>
    <i r="1">
      <x v="1"/>
    </i>
    <i r="1">
      <x v="2"/>
    </i>
    <i>
      <x v="1"/>
      <x/>
    </i>
    <i r="1">
      <x v="1"/>
    </i>
    <i r="1">
      <x v="2"/>
    </i>
  </rowItems>
  <colItems count="1">
    <i/>
  </colItems>
  <dataFields count="1">
    <dataField name="Dengue Positive(%)" fld="2" showDataAs="percentOfTotal" baseField="1" baseItem="0" numFmtId="10"/>
  </dataFields>
  <formats count="28">
    <format dxfId="67">
      <pivotArea type="all" dataOnly="0" outline="0" fieldPosition="0"/>
    </format>
    <format dxfId="66">
      <pivotArea outline="0" collapsedLevelsAreSubtotals="1" fieldPosition="0"/>
    </format>
    <format dxfId="65">
      <pivotArea dataOnly="0" labelOnly="1" outline="0" axis="axisValues" fieldPosition="0"/>
    </format>
    <format dxfId="64">
      <pivotArea type="all" dataOnly="0" outline="0" fieldPosition="0"/>
    </format>
    <format dxfId="63">
      <pivotArea outline="0" collapsedLevelsAreSubtotals="1" fieldPosition="0"/>
    </format>
    <format dxfId="62">
      <pivotArea dataOnly="0" labelOnly="1" outline="0" axis="axisValues" fieldPosition="0"/>
    </format>
    <format dxfId="61">
      <pivotArea dataOnly="0" labelOnly="1" outline="0" axis="axisValues" fieldPosition="0"/>
    </format>
    <format dxfId="60">
      <pivotArea type="all" dataOnly="0" outline="0" fieldPosition="0"/>
    </format>
    <format dxfId="59">
      <pivotArea outline="0" collapsedLevelsAreSubtotals="1" fieldPosition="0"/>
    </format>
    <format dxfId="58">
      <pivotArea dataOnly="0" labelOnly="1" outline="0" axis="axisValues" fieldPosition="0"/>
    </format>
    <format dxfId="57">
      <pivotArea outline="0" fieldPosition="0">
        <references count="1">
          <reference field="4294967294" count="1">
            <x v="0"/>
          </reference>
        </references>
      </pivotArea>
    </format>
    <format dxfId="56">
      <pivotArea outline="0" fieldPosition="0">
        <references count="2">
          <reference field="0" count="1" selected="0">
            <x v="0"/>
          </reference>
          <reference field="1" count="1" selected="0">
            <x v="0"/>
          </reference>
        </references>
      </pivotArea>
    </format>
    <format dxfId="55">
      <pivotArea outline="0" fieldPosition="0">
        <references count="2">
          <reference field="0" count="1" selected="0">
            <x v="0"/>
          </reference>
          <reference field="1" count="2" selected="0">
            <x v="1"/>
            <x v="2"/>
          </reference>
        </references>
      </pivotArea>
    </format>
    <format dxfId="54">
      <pivotArea outline="0" fieldPosition="0">
        <references count="1">
          <reference field="0" count="1" selected="0">
            <x v="1"/>
          </reference>
        </references>
      </pivotArea>
    </format>
    <format dxfId="53">
      <pivotArea type="all" dataOnly="0" outline="0" fieldPosition="0"/>
    </format>
    <format dxfId="52">
      <pivotArea outline="0" collapsedLevelsAreSubtotals="1" fieldPosition="0"/>
    </format>
    <format dxfId="51">
      <pivotArea field="0" type="button" dataOnly="0" labelOnly="1" outline="0" axis="axisRow" fieldPosition="0"/>
    </format>
    <format dxfId="50">
      <pivotArea field="1" type="button" dataOnly="0" labelOnly="1" outline="0" axis="axisRow" fieldPosition="1"/>
    </format>
    <format dxfId="49">
      <pivotArea dataOnly="0" labelOnly="1" outline="0" fieldPosition="0">
        <references count="1">
          <reference field="0" count="1">
            <x v="1"/>
          </reference>
        </references>
      </pivotArea>
    </format>
    <format dxfId="48">
      <pivotArea dataOnly="0" labelOnly="1" outline="0" fieldPosition="0">
        <references count="2">
          <reference field="0" count="1" selected="0">
            <x v="1"/>
          </reference>
          <reference field="1" count="1">
            <x v="2"/>
          </reference>
        </references>
      </pivotArea>
    </format>
    <format dxfId="47">
      <pivotArea dataOnly="0" labelOnly="1" outline="0" axis="axisValues" fieldPosition="0"/>
    </format>
    <format dxfId="46">
      <pivotArea type="all" dataOnly="0" outline="0" fieldPosition="0"/>
    </format>
    <format dxfId="45">
      <pivotArea outline="0" collapsedLevelsAreSubtotals="1" fieldPosition="0"/>
    </format>
    <format dxfId="44">
      <pivotArea field="0" type="button" dataOnly="0" labelOnly="1" outline="0" axis="axisRow" fieldPosition="0"/>
    </format>
    <format dxfId="43">
      <pivotArea field="1" type="button" dataOnly="0" labelOnly="1" outline="0" axis="axisRow" fieldPosition="1"/>
    </format>
    <format dxfId="42">
      <pivotArea dataOnly="0" labelOnly="1" outline="0" fieldPosition="0">
        <references count="1">
          <reference field="0" count="1">
            <x v="1"/>
          </reference>
        </references>
      </pivotArea>
    </format>
    <format dxfId="41">
      <pivotArea dataOnly="0" labelOnly="1" outline="0" fieldPosition="0">
        <references count="2">
          <reference field="0" count="1" selected="0">
            <x v="1"/>
          </reference>
          <reference field="1" count="1">
            <x v="2"/>
          </reference>
        </references>
      </pivotArea>
    </format>
    <format dxfId="40">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15" format="4"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0"/>
          </reference>
        </references>
      </pivotArea>
    </chartFormat>
  </chartFormats>
  <pivotHierarchies count="32">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Dengue Positive(%)"/>
    <pivotHierarchy dragToData="1" caption="Total Patients"/>
    <pivotHierarchy dragToData="1" caption="Dengue Positiv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8"/>
    <rowHierarchyUsage hierarchyUsage="9"/>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sourceDataName="WorksheetConnection_Covid_data_Analysis.xlsx!Dataset">
        <x15:activeTabTopLevelEntity name="[Datas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636DBCE-A429-4DA8-AE6B-9E8F70E3A2C9}" name="averageAgePosT" cacheId="2358" applyNumberFormats="0" applyBorderFormats="0" applyFontFormats="0" applyPatternFormats="0" applyAlignmentFormats="0" applyWidthHeightFormats="1" dataCaption="Values" tag="e704be02-d5c9-49aa-8c38-2a9f8abc8c4d" updatedVersion="7" minRefreshableVersion="3" useAutoFormatting="1" subtotalHiddenItems="1" rowGrandTotals="0" colGrandTotals="0" itemPrintTitles="1" createdVersion="7" indent="0" outline="1" outlineData="1" multipleFieldFilters="0" chartFormat="1" rowHeaderCaption="Dengue Case(Positive)">
  <location ref="AS39:AT40" firstHeaderRow="1" firstDataRow="1" firstDataCol="1"/>
  <pivotFields count="3">
    <pivotField dataField="1" subtotalTop="0" showAll="0" defaultSubtotal="0"/>
    <pivotField axis="axisRow" allDrilled="1" subtotalTop="0" showAll="0" dataSourceSort="1" defaultSubtotal="0" defaultAttributeDrillState="1">
      <items count="1">
        <item s="1" x="0"/>
      </items>
    </pivotField>
    <pivotField allDrilled="1" subtotalTop="0" showAll="0" dataSourceSort="1" defaultSubtotal="0" defaultAttributeDrillState="1"/>
  </pivotFields>
  <rowFields count="1">
    <field x="1"/>
  </rowFields>
  <rowItems count="1">
    <i>
      <x/>
    </i>
  </rowItems>
  <colItems count="1">
    <i/>
  </colItems>
  <dataFields count="1">
    <dataField name="Average of Age" fld="0" subtotal="average" baseField="0" baseItem="0" numFmtId="1"/>
  </dataFields>
  <formats count="14">
    <format dxfId="81">
      <pivotArea type="all" dataOnly="0" outline="0" fieldPosition="0"/>
    </format>
    <format dxfId="80">
      <pivotArea outline="0" collapsedLevelsAreSubtotals="1" fieldPosition="0"/>
    </format>
    <format dxfId="79">
      <pivotArea dataOnly="0" labelOnly="1" outline="0" axis="axisValues" fieldPosition="0"/>
    </format>
    <format dxfId="78">
      <pivotArea type="all" dataOnly="0" outline="0" fieldPosition="0"/>
    </format>
    <format dxfId="77">
      <pivotArea outline="0" collapsedLevelsAreSubtotals="1" fieldPosition="0"/>
    </format>
    <format dxfId="76">
      <pivotArea dataOnly="0" labelOnly="1" outline="0" axis="axisValues" fieldPosition="0"/>
    </format>
    <format dxfId="75">
      <pivotArea dataOnly="0" labelOnly="1" outline="0" axis="axisValues" fieldPosition="0"/>
    </format>
    <format dxfId="74">
      <pivotArea type="all" dataOnly="0" outline="0" fieldPosition="0"/>
    </format>
    <format dxfId="73">
      <pivotArea outline="0" collapsedLevelsAreSubtotals="1" fieldPosition="0"/>
    </format>
    <format dxfId="72">
      <pivotArea dataOnly="0" labelOnly="1" outline="0" axis="axisValues" fieldPosition="0"/>
    </format>
    <format dxfId="71">
      <pivotArea type="all" dataOnly="0" outline="0" fieldPosition="0"/>
    </format>
    <format dxfId="70">
      <pivotArea outline="0" collapsedLevelsAreSubtotals="1" fieldPosition="0"/>
    </format>
    <format dxfId="69">
      <pivotArea dataOnly="0" labelOnly="1" outline="0" axis="axisValues" fieldPosition="0"/>
    </format>
    <format dxfId="68">
      <pivotArea outline="0" collapsedLevelsAreSubtotals="1" fieldPosition="0"/>
    </format>
  </formats>
  <pivotHierarchies count="32">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ositive Cases"/>
    <pivotHierarchy dragToData="1" caption="Total Tests"/>
    <pivotHierarchy dragToData="1"/>
    <pivotHierarchy dragToData="1"/>
    <pivotHierarchy dragToData="1"/>
    <pivotHierarchy dragToData="1"/>
    <pivotHierarchy dragToData="1"/>
    <pivotHierarchy dragToData="1" caption="Average of Age"/>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ovid_data_Analysis.xlsx!Dataset">
        <x15:activeTabTopLevelEntity name="[Datas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80E4A76-89B0-4D08-ADEE-CD18C1412325}" name="PivotTable4" cacheId="2364" applyNumberFormats="0" applyBorderFormats="0" applyFontFormats="0" applyPatternFormats="0" applyAlignmentFormats="0" applyWidthHeightFormats="1" dataCaption="Values" tag="bea73475-0be6-4e4d-b2c5-47ae76f8ea82" updatedVersion="7" minRefreshableVersion="3" useAutoFormatting="1" subtotalHiddenItems="1" rowGrandTotals="0" colGrandTotals="0" itemPrintTitles="1" createdVersion="7" indent="0" compact="0" compactData="0" multipleFieldFilters="0" chartFormat="4" rowHeaderCaption="HouseType">
  <location ref="BR38:BU44" firstHeaderRow="1" firstDataRow="1" firstDataCol="3"/>
  <pivotFields count="5">
    <pivotField axis="axisRow" compact="0"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3">
    <field x="0"/>
    <field x="1"/>
    <field x="2"/>
  </rowFields>
  <rowItems count="6">
    <i>
      <x/>
      <x/>
      <x/>
    </i>
    <i r="2">
      <x v="1"/>
    </i>
    <i r="1">
      <x v="1"/>
      <x/>
    </i>
    <i r="2">
      <x v="1"/>
    </i>
    <i>
      <x v="1"/>
      <x v="1"/>
      <x/>
    </i>
    <i r="2">
      <x v="1"/>
    </i>
  </rowItems>
  <colItems count="1">
    <i/>
  </colItems>
  <dataFields count="1">
    <dataField name="Count of Outcome" fld="3" subtotal="count" baseField="2" baseItem="0"/>
  </dataFields>
  <formats count="24">
    <format dxfId="105">
      <pivotArea type="all" dataOnly="0" outline="0" fieldPosition="0"/>
    </format>
    <format dxfId="104">
      <pivotArea outline="0" collapsedLevelsAreSubtotals="1" fieldPosition="0"/>
    </format>
    <format dxfId="103">
      <pivotArea dataOnly="0" labelOnly="1" outline="0" axis="axisValues" fieldPosition="0"/>
    </format>
    <format dxfId="102">
      <pivotArea type="all" dataOnly="0" outline="0" fieldPosition="0"/>
    </format>
    <format dxfId="101">
      <pivotArea outline="0" collapsedLevelsAreSubtotals="1" fieldPosition="0"/>
    </format>
    <format dxfId="100">
      <pivotArea dataOnly="0" labelOnly="1" outline="0" axis="axisValues" fieldPosition="0"/>
    </format>
    <format dxfId="99">
      <pivotArea dataOnly="0" labelOnly="1" outline="0" axis="axisValues" fieldPosition="0"/>
    </format>
    <format dxfId="98">
      <pivotArea type="all" dataOnly="0" outline="0" fieldPosition="0"/>
    </format>
    <format dxfId="97">
      <pivotArea outline="0" collapsedLevelsAreSubtotals="1" fieldPosition="0"/>
    </format>
    <format dxfId="96">
      <pivotArea dataOnly="0" labelOnly="1" outline="0" axis="axisValues" fieldPosition="0"/>
    </format>
    <format dxfId="95">
      <pivotArea type="all" dataOnly="0" outline="0" fieldPosition="0"/>
    </format>
    <format dxfId="94">
      <pivotArea outline="0" collapsedLevelsAreSubtotals="1" fieldPosition="0"/>
    </format>
    <format dxfId="93">
      <pivotArea dataOnly="0" labelOnly="1" outline="0" axis="axisValues" fieldPosition="0"/>
    </format>
    <format dxfId="92">
      <pivotArea type="all" dataOnly="0" outline="0" fieldPosition="0"/>
    </format>
    <format dxfId="91">
      <pivotArea outline="0" collapsedLevelsAreSubtotals="1" fieldPosition="0"/>
    </format>
    <format dxfId="90">
      <pivotArea field="0" type="button" dataOnly="0" labelOnly="1" outline="0" axis="axisRow" fieldPosition="0"/>
    </format>
    <format dxfId="89">
      <pivotArea field="1" type="button" dataOnly="0" labelOnly="1" outline="0" axis="axisRow" fieldPosition="1"/>
    </format>
    <format dxfId="88">
      <pivotArea field="2" type="button" dataOnly="0" labelOnly="1" outline="0" axis="axisRow" fieldPosition="2"/>
    </format>
    <format dxfId="87">
      <pivotArea dataOnly="0" labelOnly="1" outline="0" fieldPosition="0">
        <references count="1">
          <reference field="0" count="0"/>
        </references>
      </pivotArea>
    </format>
    <format dxfId="86">
      <pivotArea dataOnly="0" labelOnly="1" outline="0" fieldPosition="0">
        <references count="2">
          <reference field="0" count="1" selected="0">
            <x v="0"/>
          </reference>
          <reference field="1" count="0"/>
        </references>
      </pivotArea>
    </format>
    <format dxfId="85">
      <pivotArea dataOnly="0" labelOnly="1" outline="0" fieldPosition="0">
        <references count="3">
          <reference field="0" count="1" selected="0">
            <x v="0"/>
          </reference>
          <reference field="1" count="1" selected="0">
            <x v="0"/>
          </reference>
          <reference field="2" count="0"/>
        </references>
      </pivotArea>
    </format>
    <format dxfId="84">
      <pivotArea dataOnly="0" labelOnly="1" outline="0" fieldPosition="0">
        <references count="3">
          <reference field="0" count="1" selected="0">
            <x v="0"/>
          </reference>
          <reference field="1" count="1" selected="0">
            <x v="1"/>
          </reference>
          <reference field="2" count="0"/>
        </references>
      </pivotArea>
    </format>
    <format dxfId="83">
      <pivotArea dataOnly="0" labelOnly="1" outline="0" fieldPosition="0">
        <references count="3">
          <reference field="0" count="1" selected="0">
            <x v="1"/>
          </reference>
          <reference field="1" count="1" selected="0">
            <x v="1"/>
          </reference>
          <reference field="2" count="0"/>
        </references>
      </pivotArea>
    </format>
    <format dxfId="82">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0"/>
          </reference>
        </references>
      </pivotArea>
    </chartFormat>
  </chartFormats>
  <pivotHierarchies count="32">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Dengue Positive"/>
    <pivotHierarchy dragToData="1" caption="Count of Outcom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3">
    <rowHierarchyUsage hierarchyUsage="3"/>
    <rowHierarchyUsage hierarchyUsage="4"/>
    <rowHierarchyUsage hierarchyUsage="5"/>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sourceDataName="WorksheetConnection_Covid_data_Analysis.xlsx!Dataset">
        <x15:activeTabTopLevelEntity name="[Datas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287A606-D49E-4C83-B567-F0F4DCE2FE82}" name="PivotTable2" cacheId="2362" applyNumberFormats="0" applyBorderFormats="0" applyFontFormats="0" applyPatternFormats="0" applyAlignmentFormats="0" applyWidthHeightFormats="1" dataCaption="Values" tag="bea73475-0be6-4e4d-b2c5-47ae76f8ea82" updatedVersion="7" minRefreshableVersion="3" useAutoFormatting="1" subtotalHiddenItems="1" rowGrandTotals="0" colGrandTotals="0" itemPrintTitles="1" createdVersion="7" indent="0" compact="0" compactData="0" multipleFieldFilters="0" chartFormat="4" rowHeaderCaption="HouseType">
  <location ref="BR21:BU27" firstHeaderRow="1" firstDataRow="1" firstDataCol="3"/>
  <pivotFields count="5">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3">
    <field x="1"/>
    <field x="2"/>
    <field x="3"/>
  </rowFields>
  <rowItems count="6">
    <i>
      <x/>
      <x/>
      <x/>
    </i>
    <i r="2">
      <x v="1"/>
    </i>
    <i r="1">
      <x v="1"/>
      <x/>
    </i>
    <i r="2">
      <x v="1"/>
    </i>
    <i>
      <x v="1"/>
      <x v="1"/>
      <x/>
    </i>
    <i r="2">
      <x v="1"/>
    </i>
  </rowItems>
  <colItems count="1">
    <i/>
  </colItems>
  <dataFields count="1">
    <dataField name="Total Dengue Positive" fld="0" baseField="0" baseItem="0"/>
  </dataFields>
  <formats count="24">
    <format dxfId="129">
      <pivotArea type="all" dataOnly="0" outline="0" fieldPosition="0"/>
    </format>
    <format dxfId="128">
      <pivotArea outline="0" collapsedLevelsAreSubtotals="1" fieldPosition="0"/>
    </format>
    <format dxfId="127">
      <pivotArea dataOnly="0" labelOnly="1" outline="0" axis="axisValues" fieldPosition="0"/>
    </format>
    <format dxfId="126">
      <pivotArea type="all" dataOnly="0" outline="0" fieldPosition="0"/>
    </format>
    <format dxfId="125">
      <pivotArea outline="0" collapsedLevelsAreSubtotals="1" fieldPosition="0"/>
    </format>
    <format dxfId="124">
      <pivotArea dataOnly="0" labelOnly="1" outline="0" axis="axisValues" fieldPosition="0"/>
    </format>
    <format dxfId="123">
      <pivotArea dataOnly="0" labelOnly="1" outline="0" axis="axisValues" fieldPosition="0"/>
    </format>
    <format dxfId="122">
      <pivotArea type="all" dataOnly="0" outline="0" fieldPosition="0"/>
    </format>
    <format dxfId="121">
      <pivotArea outline="0" collapsedLevelsAreSubtotals="1" fieldPosition="0"/>
    </format>
    <format dxfId="120">
      <pivotArea dataOnly="0" labelOnly="1" outline="0" axis="axisValues" fieldPosition="0"/>
    </format>
    <format dxfId="119">
      <pivotArea type="all" dataOnly="0" outline="0" fieldPosition="0"/>
    </format>
    <format dxfId="118">
      <pivotArea outline="0" collapsedLevelsAreSubtotals="1" fieldPosition="0"/>
    </format>
    <format dxfId="117">
      <pivotArea dataOnly="0" labelOnly="1" outline="0" axis="axisValues" fieldPosition="0"/>
    </format>
    <format dxfId="116">
      <pivotArea type="all" dataOnly="0" outline="0" fieldPosition="0"/>
    </format>
    <format dxfId="115">
      <pivotArea outline="0" collapsedLevelsAreSubtotals="1" fieldPosition="0"/>
    </format>
    <format dxfId="114">
      <pivotArea field="1" type="button" dataOnly="0" labelOnly="1" outline="0" axis="axisRow" fieldPosition="0"/>
    </format>
    <format dxfId="113">
      <pivotArea field="2" type="button" dataOnly="0" labelOnly="1" outline="0" axis="axisRow" fieldPosition="1"/>
    </format>
    <format dxfId="112">
      <pivotArea field="3" type="button" dataOnly="0" labelOnly="1" outline="0" axis="axisRow" fieldPosition="2"/>
    </format>
    <format dxfId="111">
      <pivotArea dataOnly="0" labelOnly="1" outline="0" fieldPosition="0">
        <references count="1">
          <reference field="1" count="0"/>
        </references>
      </pivotArea>
    </format>
    <format dxfId="110">
      <pivotArea dataOnly="0" labelOnly="1" outline="0" fieldPosition="0">
        <references count="2">
          <reference field="1" count="1" selected="0">
            <x v="0"/>
          </reference>
          <reference field="2" count="0"/>
        </references>
      </pivotArea>
    </format>
    <format dxfId="109">
      <pivotArea dataOnly="0" labelOnly="1" outline="0" fieldPosition="0">
        <references count="3">
          <reference field="1" count="1" selected="0">
            <x v="0"/>
          </reference>
          <reference field="2" count="1" selected="0">
            <x v="0"/>
          </reference>
          <reference field="3" count="0"/>
        </references>
      </pivotArea>
    </format>
    <format dxfId="108">
      <pivotArea dataOnly="0" labelOnly="1" outline="0" fieldPosition="0">
        <references count="3">
          <reference field="1" count="1" selected="0">
            <x v="0"/>
          </reference>
          <reference field="2" count="1" selected="0">
            <x v="1"/>
          </reference>
          <reference field="3" count="0"/>
        </references>
      </pivotArea>
    </format>
    <format dxfId="107">
      <pivotArea dataOnly="0" labelOnly="1" outline="0" fieldPosition="0">
        <references count="3">
          <reference field="1" count="1" selected="0">
            <x v="1"/>
          </reference>
          <reference field="2" count="1" selected="0">
            <x v="1"/>
          </reference>
          <reference field="3" count="0"/>
        </references>
      </pivotArea>
    </format>
    <format dxfId="106">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0"/>
          </reference>
        </references>
      </pivotArea>
    </chartFormat>
  </chartFormats>
  <pivotHierarchies count="32">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Dengue Positive"/>
    <pivotHierarchy dragToData="1" caption="Total Tests"/>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3">
    <rowHierarchyUsage hierarchyUsage="3"/>
    <rowHierarchyUsage hierarchyUsage="4"/>
    <rowHierarchyUsage hierarchyUsage="5"/>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sourceDataName="WorksheetConnection_Covid_data_Analysis.xlsx!Dataset">
        <x15:activeTabTopLevelEntity name="[Datas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6D3FDCD-BBAF-4708-B8F0-63653C90FEA9}" name="PositiveByGenderT" cacheId="2350" applyNumberFormats="0" applyBorderFormats="0" applyFontFormats="0" applyPatternFormats="0" applyAlignmentFormats="0" applyWidthHeightFormats="1" dataCaption="Values" tag="d2359146-7807-465a-adb7-861166cc287a" updatedVersion="7" minRefreshableVersion="3" useAutoFormatting="1" subtotalHiddenItems="1" rowGrandTotals="0" colGrandTotals="0" itemPrintTitles="1" createdVersion="7" indent="0" outline="1" outlineData="1" multipleFieldFilters="0" chartFormat="24" rowHeaderCaption="Gender">
  <location ref="E1:F3" firstHeaderRow="1" firstDataRow="1" firstDataCol="1"/>
  <pivotFields count="2">
    <pivotField axis="axisRow" allDrilled="1" subtotalTop="0" showAll="0" dataSourceSort="1" defaultSubtotal="0" defaultAttributeDrillState="1">
      <items count="2">
        <item x="0"/>
        <item x="1"/>
      </items>
    </pivotField>
    <pivotField dataField="1" subtotalTop="0" showAll="0" defaultSubtotal="0"/>
  </pivotFields>
  <rowFields count="1">
    <field x="0"/>
  </rowFields>
  <rowItems count="2">
    <i>
      <x/>
    </i>
    <i>
      <x v="1"/>
    </i>
  </rowItems>
  <colItems count="1">
    <i/>
  </colItems>
  <dataFields count="1">
    <dataField name="Dengue Positive(%)" fld="1" showDataAs="percentOfTotal" baseField="0" baseItem="0" numFmtId="164"/>
  </dataFields>
  <formats count="23">
    <format dxfId="152">
      <pivotArea type="all" dataOnly="0" outline="0" fieldPosition="0"/>
    </format>
    <format dxfId="151">
      <pivotArea outline="0" collapsedLevelsAreSubtotals="1" fieldPosition="0"/>
    </format>
    <format dxfId="150">
      <pivotArea dataOnly="0" labelOnly="1" outline="0" axis="axisValues" fieldPosition="0"/>
    </format>
    <format dxfId="149">
      <pivotArea type="all" dataOnly="0" outline="0" fieldPosition="0"/>
    </format>
    <format dxfId="148">
      <pivotArea outline="0" collapsedLevelsAreSubtotals="1" fieldPosition="0"/>
    </format>
    <format dxfId="147">
      <pivotArea dataOnly="0" labelOnly="1" outline="0" axis="axisValues" fieldPosition="0"/>
    </format>
    <format dxfId="146">
      <pivotArea dataOnly="0" labelOnly="1" outline="0" axis="axisValues" fieldPosition="0"/>
    </format>
    <format dxfId="145">
      <pivotArea type="all" dataOnly="0" outline="0" fieldPosition="0"/>
    </format>
    <format dxfId="144">
      <pivotArea field="0" type="button" dataOnly="0" labelOnly="1" outline="0" axis="axisRow" fieldPosition="0"/>
    </format>
    <format dxfId="143">
      <pivotArea dataOnly="0" labelOnly="1" fieldPosition="0">
        <references count="1">
          <reference field="0" count="0"/>
        </references>
      </pivotArea>
    </format>
    <format dxfId="142">
      <pivotArea dataOnly="0" labelOnly="1" outline="0" axis="axisValues" fieldPosition="0"/>
    </format>
    <format dxfId="141">
      <pivotArea outline="0" fieldPosition="0">
        <references count="1">
          <reference field="4294967294" count="1">
            <x v="0"/>
          </reference>
        </references>
      </pivotArea>
    </format>
    <format dxfId="140">
      <pivotArea outline="0" collapsedLevelsAreSubtotals="1" fieldPosition="0"/>
    </format>
    <format dxfId="139">
      <pivotArea type="all" dataOnly="0" outline="0" fieldPosition="0"/>
    </format>
    <format dxfId="138">
      <pivotArea outline="0" collapsedLevelsAreSubtotals="1" fieldPosition="0"/>
    </format>
    <format dxfId="137">
      <pivotArea field="0" type="button" dataOnly="0" labelOnly="1" outline="0" axis="axisRow" fieldPosition="0"/>
    </format>
    <format dxfId="136">
      <pivotArea dataOnly="0" labelOnly="1" fieldPosition="0">
        <references count="1">
          <reference field="0" count="1">
            <x v="1"/>
          </reference>
        </references>
      </pivotArea>
    </format>
    <format dxfId="135">
      <pivotArea dataOnly="0" labelOnly="1" outline="0" axis="axisValues" fieldPosition="0"/>
    </format>
    <format dxfId="134">
      <pivotArea type="all" dataOnly="0" outline="0" fieldPosition="0"/>
    </format>
    <format dxfId="133">
      <pivotArea outline="0" collapsedLevelsAreSubtotals="1" fieldPosition="0"/>
    </format>
    <format dxfId="132">
      <pivotArea field="0" type="button" dataOnly="0" labelOnly="1" outline="0" axis="axisRow" fieldPosition="0"/>
    </format>
    <format dxfId="131">
      <pivotArea dataOnly="0" labelOnly="1" fieldPosition="0">
        <references count="1">
          <reference field="0" count="1">
            <x v="1"/>
          </reference>
        </references>
      </pivotArea>
    </format>
    <format dxfId="130">
      <pivotArea dataOnly="0" labelOnly="1" outline="0" axis="axisValues" fieldPosition="0"/>
    </format>
  </format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0" count="1" selected="0">
            <x v="0"/>
          </reference>
        </references>
      </pivotArea>
    </chartFormat>
    <chartFormat chart="6" format="8">
      <pivotArea type="data" outline="0" fieldPosition="0">
        <references count="2">
          <reference field="4294967294" count="1" selected="0">
            <x v="0"/>
          </reference>
          <reference field="0" count="1" selected="0">
            <x v="1"/>
          </reference>
        </references>
      </pivotArea>
    </chartFormat>
    <chartFormat chart="6" format="10">
      <pivotArea type="data" outline="0" fieldPosition="0">
        <references count="1">
          <reference field="4294967294" count="1" selected="0">
            <x v="0"/>
          </reference>
        </references>
      </pivotArea>
    </chartFormat>
    <chartFormat chart="0" format="4">
      <pivotArea type="data" outline="0" fieldPosition="0">
        <references count="1">
          <reference field="4294967294" count="1" selected="0">
            <x v="0"/>
          </reference>
        </references>
      </pivotArea>
    </chartFormat>
    <chartFormat chart="12" format="15" series="1">
      <pivotArea type="data" outline="0" fieldPosition="0">
        <references count="1">
          <reference field="4294967294" count="1" selected="0">
            <x v="0"/>
          </reference>
        </references>
      </pivotArea>
    </chartFormat>
    <chartFormat chart="12" format="16">
      <pivotArea type="data" outline="0" fieldPosition="0">
        <references count="2">
          <reference field="4294967294" count="1" selected="0">
            <x v="0"/>
          </reference>
          <reference field="0" count="1" selected="0">
            <x v="0"/>
          </reference>
        </references>
      </pivotArea>
    </chartFormat>
    <chartFormat chart="12" format="17">
      <pivotArea type="data" outline="0" fieldPosition="0">
        <references count="2">
          <reference field="4294967294" count="1" selected="0">
            <x v="0"/>
          </reference>
          <reference field="0" count="1" selected="0">
            <x v="1"/>
          </reference>
        </references>
      </pivotArea>
    </chartFormat>
    <chartFormat chart="12" format="18">
      <pivotArea type="data" outline="0" fieldPosition="0">
        <references count="1">
          <reference field="4294967294" count="1" selected="0">
            <x v="0"/>
          </reference>
        </references>
      </pivotArea>
    </chartFormat>
  </chartFormats>
  <pivotHierarchies count="32">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Dengue Positive(%)"/>
    <pivotHierarchy dragToData="1" caption="Total Patients"/>
    <pivotHierarchy dragToData="1" caption="Dengue Positiv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ovid_data_Analysis.xlsx!Dataset">
        <x15:activeTabTopLevelEntity name="[Datas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F94DB84-6CD2-4A60-B310-77ABD3EF9086}" name="TotalPositivePercntgT" cacheId="2352" applyNumberFormats="0" applyBorderFormats="0" applyFontFormats="0" applyPatternFormats="0" applyAlignmentFormats="0" applyWidthHeightFormats="1" dataCaption="Values" tag="195a7a8e-81bf-4171-9ad2-f8e263cad0e4" updatedVersion="7" minRefreshableVersion="3" useAutoFormatting="1" subtotalHiddenItems="1" itemPrintTitles="1" createdVersion="7" indent="0" outline="1" outlineData="1" multipleFieldFilters="0">
  <location ref="C1:C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Percentage of Dengue Positive" fld="0" subtotal="average" baseField="0" baseItem="17508121" numFmtId="164"/>
  </dataFields>
  <formats count="13">
    <format dxfId="165">
      <pivotArea type="all" dataOnly="0" outline="0" fieldPosition="0"/>
    </format>
    <format dxfId="164">
      <pivotArea outline="0" collapsedLevelsAreSubtotals="1" fieldPosition="0"/>
    </format>
    <format dxfId="163">
      <pivotArea dataOnly="0" labelOnly="1" outline="0" axis="axisValues" fieldPosition="0"/>
    </format>
    <format dxfId="162">
      <pivotArea type="all" dataOnly="0" outline="0" fieldPosition="0"/>
    </format>
    <format dxfId="161">
      <pivotArea outline="0" collapsedLevelsAreSubtotals="1" fieldPosition="0"/>
    </format>
    <format dxfId="160">
      <pivotArea dataOnly="0" labelOnly="1" outline="0" axis="axisValues" fieldPosition="0"/>
    </format>
    <format dxfId="159">
      <pivotArea dataOnly="0" labelOnly="1" outline="0" axis="axisValues" fieldPosition="0"/>
    </format>
    <format dxfId="158">
      <pivotArea type="all" dataOnly="0" outline="0" fieldPosition="0"/>
    </format>
    <format dxfId="157">
      <pivotArea outline="0" collapsedLevelsAreSubtotals="1" fieldPosition="0"/>
    </format>
    <format dxfId="156">
      <pivotArea dataOnly="0" labelOnly="1" outline="0" axis="axisValues" fieldPosition="0"/>
    </format>
    <format dxfId="155">
      <pivotArea type="all" dataOnly="0" outline="0" fieldPosition="0"/>
    </format>
    <format dxfId="154">
      <pivotArea outline="0" collapsedLevelsAreSubtotals="1" fieldPosition="0"/>
    </format>
    <format dxfId="153">
      <pivotArea dataOnly="0" labelOnly="1" outline="0" axis="axisValues" fieldPosition="0"/>
    </format>
  </formats>
  <pivotHierarchies count="32">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Outcome"/>
    <pivotHierarchy dragToData="1" caption="Percentage of Dengue Positive"/>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ovid_data_Analysis.xlsx!Dataset">
        <x15:activeTabTopLevelEntity name="[Datas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42724CE-7462-4608-A14E-77697FBC7D1B}" name="TotalByAtype" cacheId="2357" applyNumberFormats="0" applyBorderFormats="0" applyFontFormats="0" applyPatternFormats="0" applyAlignmentFormats="0" applyWidthHeightFormats="1" dataCaption="Values" tag="fd8853cc-b7aa-4979-b32a-918f4fb2a142" updatedVersion="7" minRefreshableVersion="3" useAutoFormatting="1" subtotalHiddenItems="1" rowGrandTotals="0" colGrandTotals="0" itemPrintTitles="1" createdVersion="7" indent="0" outline="1" outlineData="1" multipleFieldFilters="0" chartFormat="4" rowHeaderCaption="AreaType">
  <location ref="AZ22:BA24" firstHeaderRow="1" firstDataRow="1" firstDataCol="1"/>
  <pivotFields count="3">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1"/>
  </rowFields>
  <rowItems count="2">
    <i>
      <x/>
    </i>
    <i>
      <x v="1"/>
    </i>
  </rowItems>
  <colItems count="1">
    <i/>
  </colItems>
  <dataFields count="1">
    <dataField name="Total Dengue Positive" fld="0" baseField="1" baseItem="0"/>
  </dataFields>
  <formats count="13">
    <format dxfId="178">
      <pivotArea type="all" dataOnly="0" outline="0" fieldPosition="0"/>
    </format>
    <format dxfId="177">
      <pivotArea outline="0" collapsedLevelsAreSubtotals="1" fieldPosition="0"/>
    </format>
    <format dxfId="176">
      <pivotArea dataOnly="0" labelOnly="1" outline="0" axis="axisValues" fieldPosition="0"/>
    </format>
    <format dxfId="175">
      <pivotArea type="all" dataOnly="0" outline="0" fieldPosition="0"/>
    </format>
    <format dxfId="174">
      <pivotArea outline="0" collapsedLevelsAreSubtotals="1" fieldPosition="0"/>
    </format>
    <format dxfId="173">
      <pivotArea dataOnly="0" labelOnly="1" outline="0" axis="axisValues" fieldPosition="0"/>
    </format>
    <format dxfId="172">
      <pivotArea dataOnly="0" labelOnly="1" outline="0" axis="axisValues" fieldPosition="0"/>
    </format>
    <format dxfId="171">
      <pivotArea type="all" dataOnly="0" outline="0" fieldPosition="0"/>
    </format>
    <format dxfId="170">
      <pivotArea outline="0" collapsedLevelsAreSubtotals="1" fieldPosition="0"/>
    </format>
    <format dxfId="169">
      <pivotArea dataOnly="0" labelOnly="1" outline="0" axis="axisValues" fieldPosition="0"/>
    </format>
    <format dxfId="168">
      <pivotArea type="all" dataOnly="0" outline="0" fieldPosition="0"/>
    </format>
    <format dxfId="167">
      <pivotArea outline="0" collapsedLevelsAreSubtotals="1" fieldPosition="0"/>
    </format>
    <format dxfId="166">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1" count="1" selected="0">
            <x v="0"/>
          </reference>
        </references>
      </pivotArea>
    </chartFormat>
    <chartFormat chart="3" format="6">
      <pivotArea type="data" outline="0" fieldPosition="0">
        <references count="2">
          <reference field="4294967294" count="1" selected="0">
            <x v="0"/>
          </reference>
          <reference field="1" count="1" selected="0">
            <x v="1"/>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s>
  <pivotHierarchies count="32">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Dengue Positive"/>
    <pivotHierarchy dragToData="1" caption="Total Tests"/>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ovid_data_Analysis.xlsx!Dataset">
        <x15:activeTabTopLevelEntity name="[Datas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AE7F40A-CABE-4537-AC73-114125A49408}" name="PivotTable8" cacheId="2360" applyNumberFormats="0" applyBorderFormats="0" applyFontFormats="0" applyPatternFormats="0" applyAlignmentFormats="0" applyWidthHeightFormats="1" dataCaption="Values" tag="b5e0e8d6-ba15-422e-91ff-4373dbe22b0e" updatedVersion="7" minRefreshableVersion="3" useAutoFormatting="1" subtotalHiddenItems="1" rowGrandTotals="0" colGrandTotals="0" itemPrintTitles="1" createdVersion="7" indent="0" outline="1" outlineData="1" multipleFieldFilters="0" chartFormat="10" rowHeaderCaption="Age Group">
  <location ref="A41:B46" firstHeaderRow="1"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Items count="1">
    <i/>
  </colItems>
  <dataFields count="1">
    <dataField name="Percentage of Dengue Positive" fld="1" showDataAs="percentOfTotal" baseField="0" baseItem="0" numFmtId="164"/>
  </dataFields>
  <formats count="21">
    <format dxfId="199">
      <pivotArea type="all" dataOnly="0" outline="0" fieldPosition="0"/>
    </format>
    <format dxfId="198">
      <pivotArea outline="0" collapsedLevelsAreSubtotals="1" fieldPosition="0"/>
    </format>
    <format dxfId="197">
      <pivotArea dataOnly="0" labelOnly="1" outline="0" axis="axisValues" fieldPosition="0"/>
    </format>
    <format dxfId="196">
      <pivotArea type="all" dataOnly="0" outline="0" fieldPosition="0"/>
    </format>
    <format dxfId="195">
      <pivotArea outline="0" collapsedLevelsAreSubtotals="1" fieldPosition="0"/>
    </format>
    <format dxfId="194">
      <pivotArea dataOnly="0" labelOnly="1" outline="0" axis="axisValues" fieldPosition="0"/>
    </format>
    <format dxfId="193">
      <pivotArea dataOnly="0" labelOnly="1" outline="0" axis="axisValues" fieldPosition="0"/>
    </format>
    <format dxfId="192">
      <pivotArea collapsedLevelsAreSubtotals="1" fieldPosition="0">
        <references count="1">
          <reference field="0" count="0"/>
        </references>
      </pivotArea>
    </format>
    <format dxfId="191">
      <pivotArea outline="0" collapsedLevelsAreSubtotals="1" fieldPosition="0"/>
    </format>
    <format dxfId="190">
      <pivotArea type="all" dataOnly="0" outline="0" fieldPosition="0"/>
    </format>
    <format dxfId="189">
      <pivotArea outline="0" collapsedLevelsAreSubtotals="1" fieldPosition="0"/>
    </format>
    <format dxfId="188">
      <pivotArea field="0" type="button" dataOnly="0" labelOnly="1" outline="0" axis="axisRow" fieldPosition="0"/>
    </format>
    <format dxfId="187">
      <pivotArea dataOnly="0" labelOnly="1" fieldPosition="0">
        <references count="1">
          <reference field="0" count="0"/>
        </references>
      </pivotArea>
    </format>
    <format dxfId="186">
      <pivotArea dataOnly="0" labelOnly="1" outline="0" axis="axisValues" fieldPosition="0"/>
    </format>
    <format dxfId="185">
      <pivotArea type="all" dataOnly="0" outline="0" fieldPosition="0"/>
    </format>
    <format dxfId="184">
      <pivotArea outline="0" collapsedLevelsAreSubtotals="1" fieldPosition="0"/>
    </format>
    <format dxfId="183">
      <pivotArea field="0" type="button" dataOnly="0" labelOnly="1" outline="0" axis="axisRow" fieldPosition="0"/>
    </format>
    <format dxfId="182">
      <pivotArea dataOnly="0" labelOnly="1" fieldPosition="0">
        <references count="1">
          <reference field="0" count="0"/>
        </references>
      </pivotArea>
    </format>
    <format dxfId="181">
      <pivotArea dataOnly="0" labelOnly="1" outline="0" axis="axisValues" fieldPosition="0"/>
    </format>
    <format dxfId="180">
      <pivotArea outline="0" fieldPosition="0">
        <references count="1">
          <reference field="4294967294" count="1">
            <x v="0"/>
          </reference>
        </references>
      </pivotArea>
    </format>
    <format dxfId="179">
      <pivotArea outline="0" collapsedLevelsAreSubtotals="1" fieldPosition="0"/>
    </format>
  </formats>
  <chartFormats count="1">
    <chartFormat chart="9" format="0" series="1">
      <pivotArea type="data" outline="0" fieldPosition="0">
        <references count="1">
          <reference field="4294967294" count="1" selected="0">
            <x v="0"/>
          </reference>
        </references>
      </pivotArea>
    </chartFormat>
  </chartFormats>
  <pivotHierarchies count="32">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ercentage of Dengue Positive"/>
    <pivotHierarchy dragToData="1" caption="Total Patients"/>
    <pivotHierarchy dragToData="1" caption="Dengue Positiv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ovid_data_Analysis.xlsx!Dataset">
        <x15:activeTabTopLevelEntity name="[Datas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650A1C3-3D5C-4218-A76B-C548695CEFD2}" name="AgeGroupPositiveT" cacheId="2347" applyNumberFormats="0" applyBorderFormats="0" applyFontFormats="0" applyPatternFormats="0" applyAlignmentFormats="0" applyWidthHeightFormats="1" dataCaption="Values" tag="7f4b93e4-6e60-4df3-b7a9-9c25f097f450" updatedVersion="7" minRefreshableVersion="3" useAutoFormatting="1" subtotalHiddenItems="1" rowGrandTotals="0" colGrandTotals="0" itemPrintTitles="1" createdVersion="7" indent="0" outline="1" outlineData="1" multipleFieldFilters="0" chartFormat="16" rowHeaderCaption="Age Group">
  <location ref="AZ10:BA15" firstHeaderRow="1"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Items count="1">
    <i/>
  </colItems>
  <dataFields count="1">
    <dataField name="Sum of Outcome" fld="1" baseField="0" baseItem="1" numFmtId="1"/>
  </dataFields>
  <formats count="20">
    <format dxfId="219">
      <pivotArea type="all" dataOnly="0" outline="0" fieldPosition="0"/>
    </format>
    <format dxfId="218">
      <pivotArea outline="0" collapsedLevelsAreSubtotals="1" fieldPosition="0"/>
    </format>
    <format dxfId="217">
      <pivotArea dataOnly="0" labelOnly="1" outline="0" axis="axisValues" fieldPosition="0"/>
    </format>
    <format dxfId="216">
      <pivotArea type="all" dataOnly="0" outline="0" fieldPosition="0"/>
    </format>
    <format dxfId="215">
      <pivotArea outline="0" collapsedLevelsAreSubtotals="1" fieldPosition="0"/>
    </format>
    <format dxfId="214">
      <pivotArea dataOnly="0" labelOnly="1" outline="0" axis="axisValues" fieldPosition="0"/>
    </format>
    <format dxfId="213">
      <pivotArea dataOnly="0" labelOnly="1" outline="0" axis="axisValues" fieldPosition="0"/>
    </format>
    <format dxfId="212">
      <pivotArea collapsedLevelsAreSubtotals="1" fieldPosition="0">
        <references count="1">
          <reference field="0" count="0"/>
        </references>
      </pivotArea>
    </format>
    <format dxfId="211">
      <pivotArea outline="0" collapsedLevelsAreSubtotals="1" fieldPosition="0"/>
    </format>
    <format dxfId="210">
      <pivotArea type="all" dataOnly="0" outline="0" fieldPosition="0"/>
    </format>
    <format dxfId="209">
      <pivotArea outline="0" collapsedLevelsAreSubtotals="1" fieldPosition="0"/>
    </format>
    <format dxfId="208">
      <pivotArea field="0" type="button" dataOnly="0" labelOnly="1" outline="0" axis="axisRow" fieldPosition="0"/>
    </format>
    <format dxfId="207">
      <pivotArea dataOnly="0" labelOnly="1" fieldPosition="0">
        <references count="1">
          <reference field="0" count="0"/>
        </references>
      </pivotArea>
    </format>
    <format dxfId="206">
      <pivotArea dataOnly="0" labelOnly="1" outline="0" axis="axisValues" fieldPosition="0"/>
    </format>
    <format dxfId="205">
      <pivotArea type="all" dataOnly="0" outline="0" fieldPosition="0"/>
    </format>
    <format dxfId="204">
      <pivotArea outline="0" collapsedLevelsAreSubtotals="1" fieldPosition="0"/>
    </format>
    <format dxfId="203">
      <pivotArea field="0" type="button" dataOnly="0" labelOnly="1" outline="0" axis="axisRow" fieldPosition="0"/>
    </format>
    <format dxfId="202">
      <pivotArea dataOnly="0" labelOnly="1" fieldPosition="0">
        <references count="1">
          <reference field="0" count="0"/>
        </references>
      </pivotArea>
    </format>
    <format dxfId="201">
      <pivotArea dataOnly="0" labelOnly="1" outline="0" axis="axisValues" fieldPosition="0"/>
    </format>
    <format dxfId="200">
      <pivotArea outline="0" fieldPosition="0">
        <references count="1">
          <reference field="4294967294" count="1">
            <x v="0"/>
          </reference>
        </references>
      </pivotArea>
    </format>
  </formats>
  <chartFormats count="2">
    <chartFormat chart="9"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s>
  <pivotHierarchies count="32">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Dengue Positive"/>
    <pivotHierarchy dragToData="1" caption="Total Patients"/>
    <pivotHierarchy dragToData="1" caption="Dengue Positiv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ovid_data_Analysis.xlsx!Dataset">
        <x15:activeTabTopLevelEntity name="[Datas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DCC1B34-25E2-41E1-8EAF-B9EE30AD1B00}" name="DengueCountGT" cacheId="2354" applyNumberFormats="0" applyBorderFormats="0" applyFontFormats="0" applyPatternFormats="0" applyAlignmentFormats="0" applyWidthHeightFormats="1" dataCaption="Values" tag="d2359146-7807-465a-adb7-861166cc287a" updatedVersion="7" minRefreshableVersion="3" useAutoFormatting="1" subtotalHiddenItems="1" rowGrandTotals="0" colGrandTotals="0" itemPrintTitles="1" createdVersion="7" indent="0" outline="1" outlineData="1" multipleFieldFilters="0" chartFormat="7" rowHeaderCaption="Gender">
  <location ref="A4:B6" firstHeaderRow="1" firstDataRow="1" firstDataCol="1"/>
  <pivotFields count="2">
    <pivotField axis="axisRow" allDrilled="1" subtotalTop="0" showAll="0" dataSourceSort="1" defaultSubtotal="0" defaultAttributeDrillState="1">
      <items count="2">
        <item x="0"/>
        <item x="1"/>
      </items>
    </pivotField>
    <pivotField dataField="1" subtotalTop="0" showAll="0" defaultSubtotal="0"/>
  </pivotFields>
  <rowFields count="1">
    <field x="0"/>
  </rowFields>
  <rowItems count="2">
    <i>
      <x/>
    </i>
    <i>
      <x v="1"/>
    </i>
  </rowItems>
  <colItems count="1">
    <i/>
  </colItems>
  <dataFields count="1">
    <dataField name="Dengue Positive Count" fld="1" baseField="0" baseItem="0" numFmtId="1"/>
  </dataFields>
  <formats count="23">
    <format dxfId="242">
      <pivotArea type="all" dataOnly="0" outline="0" fieldPosition="0"/>
    </format>
    <format dxfId="241">
      <pivotArea outline="0" collapsedLevelsAreSubtotals="1" fieldPosition="0"/>
    </format>
    <format dxfId="240">
      <pivotArea dataOnly="0" labelOnly="1" outline="0" axis="axisValues" fieldPosition="0"/>
    </format>
    <format dxfId="239">
      <pivotArea type="all" dataOnly="0" outline="0" fieldPosition="0"/>
    </format>
    <format dxfId="238">
      <pivotArea outline="0" collapsedLevelsAreSubtotals="1" fieldPosition="0"/>
    </format>
    <format dxfId="237">
      <pivotArea dataOnly="0" labelOnly="1" outline="0" axis="axisValues" fieldPosition="0"/>
    </format>
    <format dxfId="236">
      <pivotArea dataOnly="0" labelOnly="1" outline="0" axis="axisValues" fieldPosition="0"/>
    </format>
    <format dxfId="235">
      <pivotArea type="all" dataOnly="0" outline="0" fieldPosition="0"/>
    </format>
    <format dxfId="234">
      <pivotArea field="0" type="button" dataOnly="0" labelOnly="1" outline="0" axis="axisRow" fieldPosition="0"/>
    </format>
    <format dxfId="233">
      <pivotArea dataOnly="0" labelOnly="1" fieldPosition="0">
        <references count="1">
          <reference field="0" count="0"/>
        </references>
      </pivotArea>
    </format>
    <format dxfId="232">
      <pivotArea dataOnly="0" labelOnly="1" outline="0" axis="axisValues" fieldPosition="0"/>
    </format>
    <format dxfId="231">
      <pivotArea outline="0" collapsedLevelsAreSubtotals="1" fieldPosition="0"/>
    </format>
    <format dxfId="230">
      <pivotArea type="all" dataOnly="0" outline="0" fieldPosition="0"/>
    </format>
    <format dxfId="229">
      <pivotArea outline="0" collapsedLevelsAreSubtotals="1" fieldPosition="0"/>
    </format>
    <format dxfId="228">
      <pivotArea field="0" type="button" dataOnly="0" labelOnly="1" outline="0" axis="axisRow" fieldPosition="0"/>
    </format>
    <format dxfId="227">
      <pivotArea dataOnly="0" labelOnly="1" fieldPosition="0">
        <references count="1">
          <reference field="0" count="1">
            <x v="1"/>
          </reference>
        </references>
      </pivotArea>
    </format>
    <format dxfId="226">
      <pivotArea dataOnly="0" labelOnly="1" outline="0" axis="axisValues" fieldPosition="0"/>
    </format>
    <format dxfId="225">
      <pivotArea type="all" dataOnly="0" outline="0" fieldPosition="0"/>
    </format>
    <format dxfId="224">
      <pivotArea outline="0" collapsedLevelsAreSubtotals="1" fieldPosition="0"/>
    </format>
    <format dxfId="223">
      <pivotArea field="0" type="button" dataOnly="0" labelOnly="1" outline="0" axis="axisRow" fieldPosition="0"/>
    </format>
    <format dxfId="222">
      <pivotArea dataOnly="0" labelOnly="1" fieldPosition="0">
        <references count="1">
          <reference field="0" count="1">
            <x v="1"/>
          </reference>
        </references>
      </pivotArea>
    </format>
    <format dxfId="221">
      <pivotArea dataOnly="0" labelOnly="1" outline="0" axis="axisValues" fieldPosition="0"/>
    </format>
    <format dxfId="220">
      <pivotArea outline="0" fieldPosition="0">
        <references count="1">
          <reference field="4294967294" count="1">
            <x v="0"/>
          </reference>
        </references>
      </pivotArea>
    </format>
  </formats>
  <chartFormats count="2">
    <chartFormat chart="6" format="11" series="1">
      <pivotArea type="data" outline="0" fieldPosition="0">
        <references count="1">
          <reference field="4294967294" count="1" selected="0">
            <x v="0"/>
          </reference>
        </references>
      </pivotArea>
    </chartFormat>
    <chartFormat chart="0" format="5" series="1">
      <pivotArea type="data" outline="0" fieldPosition="0">
        <references count="1">
          <reference field="4294967294" count="1" selected="0">
            <x v="0"/>
          </reference>
        </references>
      </pivotArea>
    </chartFormat>
  </chartFormats>
  <pivotHierarchies count="32">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Dengue Positive Count"/>
    <pivotHierarchy dragToData="1" caption="Total Patients"/>
    <pivotHierarchy dragToData="1" caption="Dengue Positiv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ovid_data_Analysis.xlsx!Dataset">
        <x15:activeTabTopLevelEntity name="[Datas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7C41B61-B71B-421F-A9BE-057AF34A6E50}" name="AreaPositiveT" cacheId="2348" applyNumberFormats="0" applyBorderFormats="0" applyFontFormats="0" applyPatternFormats="0" applyAlignmentFormats="0" applyWidthHeightFormats="1" dataCaption="Values" tag="55a72c60-2dcf-4bc5-9590-6282bc347ccb" updatedVersion="7" minRefreshableVersion="3" useAutoFormatting="1" subtotalHiddenItems="1" rowGrandTotals="0" colGrandTotals="0" itemPrintTitles="1" createdVersion="7" indent="0" outline="1" outlineData="1" multipleFieldFilters="0" chartFormat="26" rowHeaderCaption="Area">
  <location ref="A8:B18" firstHeaderRow="1" firstDataRow="1" firstDataCol="1"/>
  <pivotFields count="3">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0">
    <i>
      <x v="4"/>
    </i>
    <i>
      <x v="2"/>
    </i>
    <i>
      <x v="9"/>
    </i>
    <i>
      <x v="1"/>
    </i>
    <i>
      <x v="8"/>
    </i>
    <i>
      <x v="7"/>
    </i>
    <i>
      <x v="5"/>
    </i>
    <i>
      <x/>
    </i>
    <i>
      <x v="6"/>
    </i>
    <i>
      <x v="3"/>
    </i>
  </rowItems>
  <colItems count="1">
    <i/>
  </colItems>
  <dataFields count="1">
    <dataField name="Total Dengue Positive" fld="1" baseField="0" baseItem="0"/>
  </dataFields>
  <formats count="19">
    <format dxfId="261">
      <pivotArea type="all" dataOnly="0" outline="0" fieldPosition="0"/>
    </format>
    <format dxfId="260">
      <pivotArea outline="0" collapsedLevelsAreSubtotals="1" fieldPosition="0"/>
    </format>
    <format dxfId="259">
      <pivotArea dataOnly="0" labelOnly="1" outline="0" axis="axisValues" fieldPosition="0"/>
    </format>
    <format dxfId="258">
      <pivotArea type="all" dataOnly="0" outline="0" fieldPosition="0"/>
    </format>
    <format dxfId="257">
      <pivotArea outline="0" collapsedLevelsAreSubtotals="1" fieldPosition="0"/>
    </format>
    <format dxfId="256">
      <pivotArea dataOnly="0" labelOnly="1" outline="0" axis="axisValues" fieldPosition="0"/>
    </format>
    <format dxfId="255">
      <pivotArea dataOnly="0" labelOnly="1" outline="0" axis="axisValues" fieldPosition="0"/>
    </format>
    <format dxfId="254">
      <pivotArea type="all" dataOnly="0" outline="0" fieldPosition="0"/>
    </format>
    <format dxfId="253">
      <pivotArea outline="0" collapsedLevelsAreSubtotals="1" fieldPosition="0"/>
    </format>
    <format dxfId="252">
      <pivotArea field="0" type="button" dataOnly="0" labelOnly="1" outline="0" axis="axisRow" fieldPosition="0"/>
    </format>
    <format dxfId="251">
      <pivotArea dataOnly="0" labelOnly="1" fieldPosition="0">
        <references count="1">
          <reference field="0" count="0"/>
        </references>
      </pivotArea>
    </format>
    <format dxfId="250">
      <pivotArea dataOnly="0" labelOnly="1" grandRow="1" outline="0" fieldPosition="0"/>
    </format>
    <format dxfId="249">
      <pivotArea dataOnly="0" labelOnly="1" outline="0" axis="axisValues" fieldPosition="0"/>
    </format>
    <format dxfId="248">
      <pivotArea type="all" dataOnly="0" outline="0" fieldPosition="0"/>
    </format>
    <format dxfId="247">
      <pivotArea outline="0" collapsedLevelsAreSubtotals="1" fieldPosition="0"/>
    </format>
    <format dxfId="246">
      <pivotArea field="0" type="button" dataOnly="0" labelOnly="1" outline="0" axis="axisRow" fieldPosition="0"/>
    </format>
    <format dxfId="245">
      <pivotArea dataOnly="0" labelOnly="1" fieldPosition="0">
        <references count="1">
          <reference field="0" count="0"/>
        </references>
      </pivotArea>
    </format>
    <format dxfId="244">
      <pivotArea dataOnly="0" labelOnly="1" grandRow="1" outline="0" fieldPosition="0"/>
    </format>
    <format dxfId="243">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12" format="4" series="1">
      <pivotArea type="data" outline="0" fieldPosition="0">
        <references count="1">
          <reference field="4294967294" count="1" selected="0">
            <x v="0"/>
          </reference>
        </references>
      </pivotArea>
    </chartFormat>
  </chartFormats>
  <pivotHierarchies count="32">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Dengue Positive"/>
    <pivotHierarchy dragToData="1" caption="Total Patients"/>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24">
      <autoFilter ref="A1">
        <filterColumn colId="0">
          <top10 val="10" filterVal="10"/>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ovid_data_Analysis.xlsx!Dataset">
        <x15:activeTabTopLevelEntity name="[Datas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242DA9FA-DAE4-4E04-AB14-18B0F37918FA}" name="TotalPositiveT" cacheId="2353" applyNumberFormats="0" applyBorderFormats="0" applyFontFormats="0" applyPatternFormats="0" applyAlignmentFormats="0" applyWidthHeightFormats="1" dataCaption="Values" tag="dcb046e4-28b5-4777-9dcd-2fc0ebaa6c62" updatedVersion="7" minRefreshableVersion="3" useAutoFormatting="1" subtotalHiddenItems="1" itemPrintTitles="1" createdVersion="7" indent="0" outline="1" outlineData="1" multipleFieldFilters="0">
  <location ref="B1:B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Total Dengue Positive" fld="0" baseField="0" baseItem="17508121"/>
  </dataFields>
  <formats count="13">
    <format dxfId="274">
      <pivotArea type="all" dataOnly="0" outline="0" fieldPosition="0"/>
    </format>
    <format dxfId="273">
      <pivotArea outline="0" collapsedLevelsAreSubtotals="1" fieldPosition="0"/>
    </format>
    <format dxfId="272">
      <pivotArea dataOnly="0" labelOnly="1" outline="0" axis="axisValues" fieldPosition="0"/>
    </format>
    <format dxfId="271">
      <pivotArea type="all" dataOnly="0" outline="0" fieldPosition="0"/>
    </format>
    <format dxfId="270">
      <pivotArea outline="0" collapsedLevelsAreSubtotals="1" fieldPosition="0"/>
    </format>
    <format dxfId="269">
      <pivotArea dataOnly="0" labelOnly="1" outline="0" axis="axisValues" fieldPosition="0"/>
    </format>
    <format dxfId="268">
      <pivotArea dataOnly="0" labelOnly="1" outline="0" axis="axisValues" fieldPosition="0"/>
    </format>
    <format dxfId="267">
      <pivotArea type="all" dataOnly="0" outline="0" fieldPosition="0"/>
    </format>
    <format dxfId="266">
      <pivotArea outline="0" collapsedLevelsAreSubtotals="1" fieldPosition="0"/>
    </format>
    <format dxfId="265">
      <pivotArea dataOnly="0" labelOnly="1" outline="0" axis="axisValues" fieldPosition="0"/>
    </format>
    <format dxfId="264">
      <pivotArea type="all" dataOnly="0" outline="0" fieldPosition="0"/>
    </format>
    <format dxfId="263">
      <pivotArea outline="0" collapsedLevelsAreSubtotals="1" fieldPosition="0"/>
    </format>
    <format dxfId="262">
      <pivotArea dataOnly="0" labelOnly="1" outline="0" axis="axisValues" fieldPosition="0"/>
    </format>
  </formats>
  <pivotHierarchies count="32">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Dengue Positiv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ovid_data_Analysis.xlsx!Dataset">
        <x15:activeTabTopLevelEntity name="[Datas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EC79EEE2-7F44-4A7E-85D4-6B319D884DB8}" name="Gender&amp;AgeT" cacheId="2361" applyNumberFormats="0" applyBorderFormats="0" applyFontFormats="0" applyPatternFormats="0" applyAlignmentFormats="0" applyWidthHeightFormats="1" dataCaption="Values" tag="14a2acdf-4f85-4ab5-9609-895c74a9a749" updatedVersion="7" minRefreshableVersion="3" useAutoFormatting="1" subtotalHiddenItems="1" rowGrandTotals="0" colGrandTotals="0" itemPrintTitles="1" createdVersion="7" indent="0" compact="0" compactData="0" multipleFieldFilters="0" chartFormat="38" rowHeaderCaption="Gender">
  <location ref="E18:G28" firstHeaderRow="1" firstDataRow="1" firstDataCol="2"/>
  <pivotFields count="3">
    <pivotField axis="axisRow" compact="0"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5">
        <item x="0"/>
        <item x="1"/>
        <item x="2"/>
        <item x="3"/>
        <item x="4"/>
      </items>
      <extLst>
        <ext xmlns:x14="http://schemas.microsoft.com/office/spreadsheetml/2009/9/main" uri="{2946ED86-A175-432a-8AC1-64E0C546D7DE}">
          <x14:pivotField fillDownLabels="1"/>
        </ext>
      </extLst>
    </pivotField>
  </pivotFields>
  <rowFields count="2">
    <field x="0"/>
    <field x="2"/>
  </rowFields>
  <rowItems count="10">
    <i>
      <x/>
      <x/>
    </i>
    <i r="1">
      <x v="1"/>
    </i>
    <i r="1">
      <x v="2"/>
    </i>
    <i r="1">
      <x v="3"/>
    </i>
    <i r="1">
      <x v="4"/>
    </i>
    <i>
      <x v="1"/>
      <x/>
    </i>
    <i r="1">
      <x v="1"/>
    </i>
    <i r="1">
      <x v="2"/>
    </i>
    <i r="1">
      <x v="3"/>
    </i>
    <i r="1">
      <x v="4"/>
    </i>
  </rowItems>
  <colItems count="1">
    <i/>
  </colItems>
  <dataFields count="1">
    <dataField name="Dengue Positive(%)" fld="1" showDataAs="percentOfTotal" baseField="0" baseItem="0" numFmtId="164"/>
  </dataFields>
  <formats count="29">
    <format dxfId="303">
      <pivotArea type="all" dataOnly="0" outline="0" fieldPosition="0"/>
    </format>
    <format dxfId="302">
      <pivotArea outline="0" collapsedLevelsAreSubtotals="1" fieldPosition="0"/>
    </format>
    <format dxfId="301">
      <pivotArea dataOnly="0" labelOnly="1" outline="0" axis="axisValues" fieldPosition="0"/>
    </format>
    <format dxfId="300">
      <pivotArea type="all" dataOnly="0" outline="0" fieldPosition="0"/>
    </format>
    <format dxfId="299">
      <pivotArea outline="0" collapsedLevelsAreSubtotals="1" fieldPosition="0"/>
    </format>
    <format dxfId="298">
      <pivotArea dataOnly="0" labelOnly="1" outline="0" axis="axisValues" fieldPosition="0"/>
    </format>
    <format dxfId="297">
      <pivotArea dataOnly="0" labelOnly="1" outline="0" axis="axisValues" fieldPosition="0"/>
    </format>
    <format dxfId="296">
      <pivotArea type="all" dataOnly="0" outline="0" fieldPosition="0"/>
    </format>
    <format dxfId="295">
      <pivotArea field="0" type="button" dataOnly="0" labelOnly="1" outline="0" axis="axisRow" fieldPosition="0"/>
    </format>
    <format dxfId="294">
      <pivotArea dataOnly="0" labelOnly="1" fieldPosition="0">
        <references count="1">
          <reference field="0" count="0"/>
        </references>
      </pivotArea>
    </format>
    <format dxfId="293">
      <pivotArea dataOnly="0" labelOnly="1" outline="0" axis="axisValues" fieldPosition="0"/>
    </format>
    <format dxfId="292">
      <pivotArea outline="0" fieldPosition="0">
        <references count="1">
          <reference field="4294967294" count="1">
            <x v="0"/>
          </reference>
        </references>
      </pivotArea>
    </format>
    <format dxfId="291">
      <pivotArea outline="0" collapsedLevelsAreSubtotals="1" fieldPosition="0"/>
    </format>
    <format dxfId="290">
      <pivotArea type="all" dataOnly="0" outline="0" fieldPosition="0"/>
    </format>
    <format dxfId="289">
      <pivotArea outline="0" collapsedLevelsAreSubtotals="1" fieldPosition="0"/>
    </format>
    <format dxfId="288">
      <pivotArea field="0" type="button" dataOnly="0" labelOnly="1" outline="0" axis="axisRow" fieldPosition="0"/>
    </format>
    <format dxfId="287">
      <pivotArea field="2" type="button" dataOnly="0" labelOnly="1" outline="0" axis="axisRow" fieldPosition="1"/>
    </format>
    <format dxfId="286">
      <pivotArea dataOnly="0" labelOnly="1" outline="0" fieldPosition="0">
        <references count="1">
          <reference field="0" count="0"/>
        </references>
      </pivotArea>
    </format>
    <format dxfId="285">
      <pivotArea dataOnly="0" labelOnly="1" outline="0" fieldPosition="0">
        <references count="2">
          <reference field="0" count="1" selected="0">
            <x v="0"/>
          </reference>
          <reference field="2" count="0"/>
        </references>
      </pivotArea>
    </format>
    <format dxfId="284">
      <pivotArea dataOnly="0" labelOnly="1" outline="0" fieldPosition="0">
        <references count="2">
          <reference field="0" count="1" selected="0">
            <x v="1"/>
          </reference>
          <reference field="2" count="0"/>
        </references>
      </pivotArea>
    </format>
    <format dxfId="283">
      <pivotArea dataOnly="0" labelOnly="1" outline="0" axis="axisValues" fieldPosition="0"/>
    </format>
    <format dxfId="282">
      <pivotArea type="all" dataOnly="0" outline="0" fieldPosition="0"/>
    </format>
    <format dxfId="281">
      <pivotArea outline="0" collapsedLevelsAreSubtotals="1" fieldPosition="0"/>
    </format>
    <format dxfId="280">
      <pivotArea field="0" type="button" dataOnly="0" labelOnly="1" outline="0" axis="axisRow" fieldPosition="0"/>
    </format>
    <format dxfId="279">
      <pivotArea field="2" type="button" dataOnly="0" labelOnly="1" outline="0" axis="axisRow" fieldPosition="1"/>
    </format>
    <format dxfId="278">
      <pivotArea dataOnly="0" labelOnly="1" outline="0" fieldPosition="0">
        <references count="1">
          <reference field="0" count="0"/>
        </references>
      </pivotArea>
    </format>
    <format dxfId="277">
      <pivotArea dataOnly="0" labelOnly="1" outline="0" fieldPosition="0">
        <references count="2">
          <reference field="0" count="1" selected="0">
            <x v="0"/>
          </reference>
          <reference field="2" count="0"/>
        </references>
      </pivotArea>
    </format>
    <format dxfId="276">
      <pivotArea dataOnly="0" labelOnly="1" outline="0" fieldPosition="0">
        <references count="2">
          <reference field="0" count="1" selected="0">
            <x v="1"/>
          </reference>
          <reference field="2" count="0"/>
        </references>
      </pivotArea>
    </format>
    <format dxfId="275">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3" format="1"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27" format="4" series="1">
      <pivotArea type="data" outline="0" fieldPosition="0">
        <references count="1">
          <reference field="4294967294" count="1" selected="0">
            <x v="0"/>
          </reference>
        </references>
      </pivotArea>
    </chartFormat>
  </chartFormats>
  <pivotHierarchies count="32">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Dengue Positive(%)"/>
    <pivotHierarchy dragToData="1" caption="Total Patients"/>
    <pivotHierarchy dragToData="1" caption="Dengue Positiv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0"/>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sourceDataName="WorksheetConnection_Covid_data_Analysis.xlsx!Dataset">
        <x15:activeTabTopLevelEntity name="[Datas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B43138F4-DAE8-4AFC-A955-DD2334D0D881}" name="PivotTable1" cacheId="2355" applyNumberFormats="0" applyBorderFormats="0" applyFontFormats="0" applyPatternFormats="0" applyAlignmentFormats="0" applyWidthHeightFormats="1" dataCaption="Values" tag="01129fd7-8fc9-4306-8e99-af4320c00207" updatedVersion="7" minRefreshableVersion="3" useAutoFormatting="1" subtotalHiddenItems="1" rowGrandTotals="0" colGrandTotals="0" itemPrintTitles="1" createdVersion="7" indent="0" outline="1" outlineData="1" multipleFieldFilters="0" chartFormat="1" rowHeaderCaption="Area">
  <location ref="AM1:AN37" firstHeaderRow="1" firstDataRow="1" firstDataCol="1"/>
  <pivotFields count="3">
    <pivotField dataField="1" subtotalTop="0" showAll="0" defaultSubtotal="0"/>
    <pivotField axis="axisRow" allDrilled="1"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 allDrilled="1" subtotalTop="0" showAll="0" dataSourceSort="1" defaultSubtotal="0" defaultAttributeDrillState="1"/>
  </pivotFields>
  <rowFields count="1">
    <field x="1"/>
  </rowFields>
  <rowItems count="3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rowItems>
  <colItems count="1">
    <i/>
  </colItems>
  <dataFields count="1">
    <dataField name="Positive Cases" fld="0" baseField="0" baseItem="0"/>
  </dataFields>
  <formats count="13">
    <format dxfId="316">
      <pivotArea type="all" dataOnly="0" outline="0" fieldPosition="0"/>
    </format>
    <format dxfId="315">
      <pivotArea outline="0" collapsedLevelsAreSubtotals="1" fieldPosition="0"/>
    </format>
    <format dxfId="314">
      <pivotArea dataOnly="0" labelOnly="1" outline="0" axis="axisValues" fieldPosition="0"/>
    </format>
    <format dxfId="313">
      <pivotArea type="all" dataOnly="0" outline="0" fieldPosition="0"/>
    </format>
    <format dxfId="312">
      <pivotArea outline="0" collapsedLevelsAreSubtotals="1" fieldPosition="0"/>
    </format>
    <format dxfId="311">
      <pivotArea dataOnly="0" labelOnly="1" outline="0" axis="axisValues" fieldPosition="0"/>
    </format>
    <format dxfId="310">
      <pivotArea dataOnly="0" labelOnly="1" outline="0" axis="axisValues" fieldPosition="0"/>
    </format>
    <format dxfId="309">
      <pivotArea type="all" dataOnly="0" outline="0" fieldPosition="0"/>
    </format>
    <format dxfId="308">
      <pivotArea outline="0" collapsedLevelsAreSubtotals="1" fieldPosition="0"/>
    </format>
    <format dxfId="307">
      <pivotArea dataOnly="0" labelOnly="1" outline="0" axis="axisValues" fieldPosition="0"/>
    </format>
    <format dxfId="306">
      <pivotArea type="all" dataOnly="0" outline="0" fieldPosition="0"/>
    </format>
    <format dxfId="305">
      <pivotArea outline="0" collapsedLevelsAreSubtotals="1" fieldPosition="0"/>
    </format>
    <format dxfId="304">
      <pivotArea dataOnly="0" labelOnly="1" outline="0" axis="axisValues" fieldPosition="0"/>
    </format>
  </formats>
  <pivotHierarchies count="32">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ositive Cases"/>
    <pivotHierarchy dragToData="1" caption="Total Tests"/>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ovid_data_Analysis.xlsx!Dataset">
        <x15:activeTabTopLevelEntity name="[Datas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3D3BA3D1-9B6B-45EF-A39F-BA6B62C1C6E2}" name="RiskTypeT" cacheId="2363" applyNumberFormats="0" applyBorderFormats="0" applyFontFormats="0" applyPatternFormats="0" applyAlignmentFormats="0" applyWidthHeightFormats="1" dataCaption="Values" tag="68130d7b-eb0b-449c-9612-2cd213e18bd9" updatedVersion="7" minRefreshableVersion="3" useAutoFormatting="1" subtotalHiddenItems="1" rowGrandTotals="0" colGrandTotals="0" itemPrintTitles="1" createdVersion="7" indent="0" outline="1" outlineData="1" multipleFieldFilters="0" chartFormat="10" rowHeaderCaption="Risk Type">
  <location ref="AH29:AI32" firstHeaderRow="1" firstDataRow="1" firstDataCol="1"/>
  <pivotFields count="3">
    <pivotField axis="axisRow" allDrilled="1" subtotalTop="0" showAll="0" dataSourceSort="1" defaultSubtotal="0" defaultAttributeDrillState="1">
      <items count="3">
        <item s="1" x="0"/>
        <item s="1" x="1"/>
        <item s="1" x="2"/>
      </items>
    </pivotField>
    <pivotField dataField="1" subtotalTop="0" showAll="0" defaultSubtotal="0"/>
    <pivotField allDrilled="1" subtotalTop="0" showAll="0" dataSourceSort="1" defaultSubtotal="0" defaultAttributeDrillState="1"/>
  </pivotFields>
  <rowFields count="1">
    <field x="0"/>
  </rowFields>
  <rowItems count="3">
    <i>
      <x/>
    </i>
    <i>
      <x v="1"/>
    </i>
    <i>
      <x v="2"/>
    </i>
  </rowItems>
  <colItems count="1">
    <i/>
  </colItems>
  <dataFields count="1">
    <dataField name="Total Patients" fld="1" subtotal="count" baseField="0" baseItem="0"/>
  </dataFields>
  <formats count="13">
    <format dxfId="329">
      <pivotArea type="all" dataOnly="0" outline="0" fieldPosition="0"/>
    </format>
    <format dxfId="328">
      <pivotArea outline="0" collapsedLevelsAreSubtotals="1" fieldPosition="0"/>
    </format>
    <format dxfId="327">
      <pivotArea dataOnly="0" labelOnly="1" outline="0" axis="axisValues" fieldPosition="0"/>
    </format>
    <format dxfId="326">
      <pivotArea type="all" dataOnly="0" outline="0" fieldPosition="0"/>
    </format>
    <format dxfId="325">
      <pivotArea outline="0" collapsedLevelsAreSubtotals="1" fieldPosition="0"/>
    </format>
    <format dxfId="324">
      <pivotArea dataOnly="0" labelOnly="1" outline="0" axis="axisValues" fieldPosition="0"/>
    </format>
    <format dxfId="323">
      <pivotArea dataOnly="0" labelOnly="1" outline="0" axis="axisValues" fieldPosition="0"/>
    </format>
    <format dxfId="322">
      <pivotArea type="all" dataOnly="0" outline="0" fieldPosition="0"/>
    </format>
    <format dxfId="321">
      <pivotArea outline="0" collapsedLevelsAreSubtotals="1" fieldPosition="0"/>
    </format>
    <format dxfId="320">
      <pivotArea dataOnly="0" labelOnly="1" outline="0" axis="axisValues" fieldPosition="0"/>
    </format>
    <format dxfId="319">
      <pivotArea type="all" dataOnly="0" outline="0" fieldPosition="0"/>
    </format>
    <format dxfId="318">
      <pivotArea outline="0" collapsedLevelsAreSubtotals="1" fieldPosition="0"/>
    </format>
    <format dxfId="317">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Hierarchies count="32">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Dengue Positive"/>
    <pivotHierarchy dragToData="1" caption="Total Patients"/>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ovid_data_Analysis.xlsx!Dataset">
        <x15:activeTabTopLevelEntity name="[Datas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A1BCDEBF-60F8-4962-ACAB-8998E3B3BD34}" name="TestPositivityT" cacheId="2346" applyNumberFormats="0" applyBorderFormats="0" applyFontFormats="0" applyPatternFormats="0" applyAlignmentFormats="0" applyWidthHeightFormats="1" dataCaption="Values" tag="235c7c92-7c0c-491e-b3e1-176034c7a7e1" updatedVersion="7" minRefreshableVersion="3" useAutoFormatting="1" subtotalHiddenItems="1" itemPrintTitles="1" createdVersion="7" indent="0" outline="1" outlineData="1" multipleFieldFilters="0">
  <location ref="AB4:AJ5" firstHeaderRow="0" firstDataRow="1" firstDataCol="0"/>
  <pivotFields count="1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fld="0" subtotal="count" baseField="0" baseItem="0"/>
    <dataField fld="1" subtotal="count" baseField="0" baseItem="0"/>
    <dataField fld="2" subtotal="count" baseField="0" baseItem="0"/>
    <dataField fld="3" subtotal="count" baseField="0" baseItem="0"/>
    <dataField fld="4" subtotal="count" baseField="0" baseItem="0"/>
    <dataField fld="5" subtotal="count" baseField="0" baseItem="0"/>
    <dataField fld="6" subtotal="count" baseField="0" baseItem="0"/>
    <dataField fld="7" subtotal="count" baseField="0" baseItem="0"/>
    <dataField fld="8" subtotal="count" baseField="0" baseItem="0"/>
  </dataFields>
  <formats count="3">
    <format dxfId="332">
      <pivotArea type="all" dataOnly="0" outline="0" fieldPosition="0"/>
    </format>
    <format dxfId="331">
      <pivotArea outline="0" collapsedLevelsAreSubtotals="1" fieldPosition="0"/>
    </format>
    <format dxfId="330">
      <pivotArea dataOnly="0" labelOnly="1" outline="0" fieldPosition="0">
        <references count="1">
          <reference field="4294967294" count="9">
            <x v="0"/>
            <x v="1"/>
            <x v="2"/>
            <x v="3"/>
            <x v="4"/>
            <x v="5"/>
            <x v="6"/>
            <x v="7"/>
            <x v="8"/>
          </reference>
        </references>
      </pivotArea>
    </format>
  </formats>
  <pivotHierarchies count="32">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ovid_data_Analysis.xlsx!Dataset">
        <x15:activeTabTopLevelEntity name="[Datas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26CBE3BA-DF0B-4B74-AB9B-31A0A827E61C}" name="TotalPatientT" cacheId="2351" applyNumberFormats="0" applyBorderFormats="0" applyFontFormats="0" applyPatternFormats="0" applyAlignmentFormats="0" applyWidthHeightFormats="1" dataCaption="Values" tag="efb3bcef-9e39-4daf-b702-4404d73f27f2" updatedVersion="7" minRefreshableVersion="3" useAutoFormatting="1" subtotalHiddenItems="1" itemPrintTitles="1" createdVersion="7" indent="0" outline="1" outlineData="1" multipleFieldFilters="0">
  <location ref="A1:A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Total Patients" fld="0" subtotal="count" baseField="0" baseItem="17508121"/>
  </dataFields>
  <formats count="13">
    <format dxfId="345">
      <pivotArea type="all" dataOnly="0" outline="0" fieldPosition="0"/>
    </format>
    <format dxfId="344">
      <pivotArea outline="0" collapsedLevelsAreSubtotals="1" fieldPosition="0"/>
    </format>
    <format dxfId="343">
      <pivotArea dataOnly="0" labelOnly="1" outline="0" axis="axisValues" fieldPosition="0"/>
    </format>
    <format dxfId="342">
      <pivotArea type="all" dataOnly="0" outline="0" fieldPosition="0"/>
    </format>
    <format dxfId="341">
      <pivotArea outline="0" collapsedLevelsAreSubtotals="1" fieldPosition="0"/>
    </format>
    <format dxfId="340">
      <pivotArea dataOnly="0" labelOnly="1" outline="0" axis="axisValues" fieldPosition="0"/>
    </format>
    <format dxfId="339">
      <pivotArea dataOnly="0" labelOnly="1" outline="0" axis="axisValues" fieldPosition="0"/>
    </format>
    <format dxfId="338">
      <pivotArea type="all" dataOnly="0" outline="0" fieldPosition="0"/>
    </format>
    <format dxfId="337">
      <pivotArea outline="0" collapsedLevelsAreSubtotals="1" fieldPosition="0"/>
    </format>
    <format dxfId="336">
      <pivotArea dataOnly="0" labelOnly="1" outline="0" axis="axisValues" fieldPosition="0"/>
    </format>
    <format dxfId="335">
      <pivotArea type="all" dataOnly="0" outline="0" fieldPosition="0"/>
    </format>
    <format dxfId="334">
      <pivotArea outline="0" collapsedLevelsAreSubtotals="1" fieldPosition="0"/>
    </format>
    <format dxfId="333">
      <pivotArea dataOnly="0" labelOnly="1" outline="0" axis="axisValues" fieldPosition="0"/>
    </format>
  </formats>
  <pivotHierarchies count="32">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otal Patients"/>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ovid_data_Analysis.xlsx!Dataset">
        <x15:activeTabTopLevelEntity name="[Dataset]"/>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59B1890F-7727-4B90-B9EA-5B2B8AA38363}" autoFormatId="16" applyNumberFormats="0" applyBorderFormats="0" applyFontFormats="0" applyPatternFormats="0" applyAlignmentFormats="0" applyWidthHeightFormats="0">
  <queryTableRefresh nextId="49">
    <queryTableFields count="5">
      <queryTableField id="2" name="Age" tableColumnId="2"/>
      <queryTableField id="3" name="NS1" tableColumnId="3"/>
      <queryTableField id="4" name="IgG" tableColumnId="4"/>
      <queryTableField id="5" name="IgM" tableColumnId="5"/>
      <queryTableField id="10" name="Outcome" tableColumnId="10"/>
    </queryTableFields>
    <queryTableDeletedFields count="23">
      <deletedField name="District"/>
      <deletedField name="District"/>
      <deletedField name="District"/>
      <deletedField name="Gender"/>
      <deletedField name="Area"/>
      <deletedField name="AreaType"/>
      <deletedField name="HouseType"/>
      <deletedField name="Area"/>
      <deletedField name="AreaType"/>
      <deletedField name="HouseType"/>
      <deletedField name="District"/>
      <deletedField name="Gender"/>
      <deletedField name="District"/>
      <deletedField name="AreaType"/>
      <deletedField name="HouseType"/>
      <deletedField name="Area"/>
      <deletedField name="Gender"/>
      <deletedField name="District"/>
      <deletedField name="District"/>
      <deletedField name="Area"/>
      <deletedField name="AreaType"/>
      <deletedField name="HouseType"/>
      <deletedField name="Gender"/>
    </queryTableDeleted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F10C6D7A-5748-4663-8D5C-0EA7F249E005}" autoFormatId="16" applyNumberFormats="0" applyBorderFormats="0" applyFontFormats="0" applyPatternFormats="0" applyAlignmentFormats="0" applyWidthHeightFormats="0">
  <queryTableRefresh nextId="24">
    <queryTableFields count="11">
      <queryTableField id="1" name="Gender" tableColumnId="1"/>
      <queryTableField id="2" name="Age" tableColumnId="2"/>
      <queryTableField id="11" dataBound="0" tableColumnId="12"/>
      <queryTableField id="3" name="NS1" tableColumnId="3"/>
      <queryTableField id="4" name="IgG" tableColumnId="4"/>
      <queryTableField id="5" name="IgM" tableColumnId="5"/>
      <queryTableField id="17" dataBound="0" tableColumnId="9"/>
      <queryTableField id="6" name="Area" tableColumnId="6"/>
      <queryTableField id="7" name="AreaType" tableColumnId="7"/>
      <queryTableField id="8" name="HouseType" tableColumnId="8"/>
      <queryTableField id="10" name="Outcome" tableColumnId="10"/>
    </queryTableFields>
    <queryTableDeletedFields count="6">
      <deletedField name="District"/>
      <deletedField name="District"/>
      <deletedField name="District"/>
      <deletedField name="District"/>
      <deletedField name="District"/>
      <deletedField name="District"/>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useType" xr10:uid="{3034D1AA-311C-46D3-B83A-DD06D5D4DA7A}" sourceName="[Dataset].[HouseType]">
  <pivotTables>
    <pivotTable tabId="1" name="TestPositivityT"/>
    <pivotTable tabId="1" name="AgeGroupPositiveT"/>
    <pivotTable tabId="1" name="AreaPositiveT"/>
    <pivotTable tabId="1" name="AreaType&amp;HouseTypeT"/>
    <pivotTable tabId="1" name="Gender&amp;AgeT"/>
    <pivotTable tabId="1" name="PositiveByGenderT"/>
    <pivotTable tabId="1" name="TotalPatientT"/>
    <pivotTable tabId="1" name="TotalPositivePercntgT"/>
    <pivotTable tabId="1" name="TotalPositiveT"/>
    <pivotTable tabId="1" name="DengueCountGT"/>
    <pivotTable tabId="1" name="PivotTable1"/>
    <pivotTable tabId="1" name="TotalByHtype"/>
    <pivotTable tabId="1" name="TotalByAtype"/>
    <pivotTable tabId="1" name="averageAgePosT"/>
    <pivotTable tabId="1" name="PivotTable7"/>
    <pivotTable tabId="1" name="PivotTable8"/>
    <pivotTable tabId="1" name="PivotTable2"/>
    <pivotTable tabId="1" name="RiskTypeT"/>
    <pivotTable tabId="1" name="PivotTable4"/>
  </pivotTables>
  <data>
    <olap pivotCacheId="583534468">
      <levels count="2">
        <level uniqueName="[Dataset].[HouseType].[(All)]" sourceCaption="(All)" count="0"/>
        <level uniqueName="[Dataset].[HouseType].[HouseType]" sourceCaption="HouseType" count="3">
          <ranges>
            <range startItem="0">
              <i n="[Dataset].[HouseType].&amp;[Building]" c="Building"/>
              <i n="[Dataset].[HouseType].&amp;[Other]" c="Other"/>
              <i n="[Dataset].[HouseType].&amp;[Tinshed]" c="Tinshed"/>
            </range>
          </ranges>
        </level>
      </levels>
      <selections count="1">
        <selection n="[Dataset].[HouseTyp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Type" xr10:uid="{8449A7B4-C31D-4D68-9942-DC76F00F8A33}" sourceName="[Dataset].[AreaType]">
  <pivotTables>
    <pivotTable tabId="1" name="TestPositivityT"/>
    <pivotTable tabId="1" name="AgeGroupPositiveT"/>
    <pivotTable tabId="1" name="AreaPositiveT"/>
    <pivotTable tabId="1" name="AreaType&amp;HouseTypeT"/>
    <pivotTable tabId="1" name="Gender&amp;AgeT"/>
    <pivotTable tabId="1" name="PositiveByGenderT"/>
    <pivotTable tabId="1" name="TotalPatientT"/>
    <pivotTable tabId="1" name="TotalPositivePercntgT"/>
    <pivotTable tabId="1" name="TotalPositiveT"/>
    <pivotTable tabId="1" name="DengueCountGT"/>
    <pivotTable tabId="1" name="PivotTable1"/>
    <pivotTable tabId="1" name="TotalByHtype"/>
    <pivotTable tabId="1" name="TotalByAtype"/>
    <pivotTable tabId="1" name="averageAgePosT"/>
    <pivotTable tabId="1" name="PivotTable7"/>
    <pivotTable tabId="1" name="PivotTable8"/>
    <pivotTable tabId="1" name="PivotTable2"/>
    <pivotTable tabId="1" name="RiskTypeT"/>
    <pivotTable tabId="1" name="PivotTable4"/>
  </pivotTables>
  <data>
    <olap pivotCacheId="583534468">
      <levels count="2">
        <level uniqueName="[Dataset].[AreaType].[(All)]" sourceCaption="(All)" count="0"/>
        <level uniqueName="[Dataset].[AreaType].[AreaType]" sourceCaption="AreaType" count="2">
          <ranges>
            <range startItem="0">
              <i n="[Dataset].[AreaType].&amp;[Developed]" c="Developed"/>
              <i n="[Dataset].[AreaType].&amp;[Undeveloped]" c="Undeveloped"/>
            </range>
          </ranges>
        </level>
      </levels>
      <selections count="1">
        <selection n="[Dataset].[AreaTyp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BFF441C6-5F5F-4861-A0FA-2F558839E30B}" sourceName="[Dataset].[Gender]">
  <pivotTables>
    <pivotTable tabId="1" name="TestPositivityT"/>
    <pivotTable tabId="1" name="AgeGroupPositiveT"/>
    <pivotTable tabId="1" name="AreaPositiveT"/>
    <pivotTable tabId="1" name="AreaType&amp;HouseTypeT"/>
    <pivotTable tabId="1" name="PositiveByGenderT"/>
    <pivotTable tabId="1" name="TotalPatientT"/>
    <pivotTable tabId="1" name="TotalPositivePercntgT"/>
    <pivotTable tabId="1" name="TotalPositiveT"/>
    <pivotTable tabId="1" name="DengueCountGT"/>
    <pivotTable tabId="1" name="PivotTable1"/>
    <pivotTable tabId="1" name="TotalByHtype"/>
    <pivotTable tabId="1" name="TotalByAtype"/>
    <pivotTable tabId="1" name="averageAgePosT"/>
    <pivotTable tabId="1" name="PivotTable7"/>
    <pivotTable tabId="1" name="PivotTable8"/>
    <pivotTable tabId="1" name="Gender&amp;AgeT"/>
    <pivotTable tabId="1" name="PivotTable2"/>
    <pivotTable tabId="1" name="RiskTypeT"/>
    <pivotTable tabId="1" name="PivotTable4"/>
  </pivotTables>
  <data>
    <olap pivotCacheId="583534468">
      <levels count="2">
        <level uniqueName="[Dataset].[Gender].[(All)]" sourceCaption="(All)" count="0"/>
        <level uniqueName="[Dataset].[Gender].[Gender]" sourceCaption="Gender" count="2">
          <ranges>
            <range startItem="0">
              <i n="[Dataset].[Gender].&amp;[Female]" c="Female"/>
              <i n="[Dataset].[Gender].&amp;[Male]" c="Male"/>
            </range>
          </ranges>
        </level>
      </levels>
      <selections count="1">
        <selection n="[Dataset].[Gende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ouseType 1" xr10:uid="{34096EF9-F3ED-4D70-BAFE-B5CEA79E39B1}" cache="Slicer_HouseType" caption="HouseType" columnCount="3" level="1" style="Slicer Style 1 2" rowHeight="234950"/>
  <slicer name="AreaType 1" xr10:uid="{4FE57B56-4D75-458A-B0B8-89D6237B9A40}" cache="Slicer_AreaType" caption="AreaType" columnCount="2" level="1" style="Slicer Style 1 2" rowHeight="234950"/>
  <slicer name="Gender 1" xr10:uid="{B204E267-267A-431E-AB4F-094B84657BA7}" cache="Slicer_Gender" caption="Gender" columnCount="2" level="1" style="Slicer Style 1 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ouseType 2" xr10:uid="{46AAF4CA-0ADA-43FC-8D09-5FE9844BB94A}" cache="Slicer_HouseType" caption="HouseType" columnCount="3" level="1" style="Slicer Style 1 2" rowHeight="234950"/>
  <slicer name="AreaType 2" xr10:uid="{66ED7488-362F-4733-9EAB-2B8093EDD01A}" cache="Slicer_AreaType" caption="AreaType" columnCount="2" level="1" style="Slicer Style 1 2" rowHeight="234950"/>
  <slicer name="Gender 2" xr10:uid="{60A55B04-D1CC-435C-9125-78C7E15421A9}" cache="Slicer_Gender" caption="Gender" columnCount="2" level="1" style="Slicer Style 1 2"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ouseType" xr10:uid="{033A36DE-544E-4C8C-9FBC-5FA4506DD630}" cache="Slicer_HouseType" caption="HouseType" columnCount="3" level="1" rowHeight="234950"/>
  <slicer name="AreaType" xr10:uid="{DE15A848-C56F-4616-BF50-92A4FF28D625}" cache="Slicer_AreaType" caption="AreaType" columnCount="2" level="1" rowHeight="234950"/>
  <slicer name="Gender" xr10:uid="{C0BD8341-1E70-49AC-9C63-211E3EB237FA}" cache="Slicer_Gender" caption="Gender" columnCount="2" level="1" rowHeight="2349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23963B1-B024-4FEC-A6BF-A19F6F3B0877}" name="TestsT" displayName="TestsT" ref="AB8:AE11" totalsRowShown="0" headerRowDxfId="11" dataDxfId="10">
  <autoFilter ref="AB8:AE11" xr:uid="{423963B1-B024-4FEC-A6BF-A19F6F3B0877}"/>
  <tableColumns count="4">
    <tableColumn id="1" xr3:uid="{3FAB2B8E-0DA4-4EED-B601-4D6BBF1DFF35}" name="Tests" dataDxfId="9"/>
    <tableColumn id="2" xr3:uid="{056D99F6-D93B-44E8-9F00-A722E4B2705C}" name="Positivity Rate" dataDxfId="8" dataCellStyle="Percent"/>
    <tableColumn id="3" xr3:uid="{1841158E-749A-4E25-A252-B863385E28AB}" name="Effectiveness" dataDxfId="7" dataCellStyle="Percent"/>
    <tableColumn id="4" xr3:uid="{85680AEC-5D18-4203-A03B-E5FD9AD725C7}" name="Confirmed Positive Cases" dataDxfId="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ED732E4-438D-409E-A512-CBBA310A1ED0}" name="Dataset4" displayName="Dataset4" ref="BL1:BP997" tableType="queryTable" totalsRowShown="0">
  <autoFilter ref="BL1:BP997" xr:uid="{BED732E4-438D-409E-A512-CBBA310A1ED0}"/>
  <tableColumns count="5">
    <tableColumn id="2" xr3:uid="{B6DA7FB7-C468-4087-8806-2141AD7F2A82}" uniqueName="2" name="Age" queryTableFieldId="2"/>
    <tableColumn id="3" xr3:uid="{82938A81-5876-4943-B393-BB41E003AC62}" uniqueName="3" name="NS1" queryTableFieldId="3"/>
    <tableColumn id="4" xr3:uid="{5FB76B0E-6714-4C7E-AE7E-4D662C401EB8}" uniqueName="4" name="IgG" queryTableFieldId="4"/>
    <tableColumn id="5" xr3:uid="{82073853-1A12-4869-A3D6-257DED50F773}" uniqueName="5" name="IgM" queryTableFieldId="5"/>
    <tableColumn id="10" xr3:uid="{A1787318-EE62-4653-8D7D-D4B301225BC6}" uniqueName="10" name="Outcome" queryTableFieldId="1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8DF9B7-D5D4-469E-BC38-A108F46B1BED}" name="Dataset" displayName="Dataset" ref="A1:K997" tableType="queryTable" totalsRowShown="0">
  <autoFilter ref="A1:K997" xr:uid="{2E8DF9B7-D5D4-469E-BC38-A108F46B1BED}"/>
  <tableColumns count="11">
    <tableColumn id="1" xr3:uid="{6C5A67C4-3720-4D97-A2B6-9860C0F36BDB}" uniqueName="1" name="Gender" queryTableFieldId="1" dataDxfId="5"/>
    <tableColumn id="2" xr3:uid="{D99FD430-7A3E-4C73-9E03-B6C87D9F3D30}" uniqueName="2" name="Age" queryTableFieldId="2"/>
    <tableColumn id="12" xr3:uid="{A374E49B-EF52-4F39-A1A3-50B43E012F89}" uniqueName="12" name="Age Group" queryTableFieldId="11" dataDxfId="4">
      <calculatedColumnFormula array="1">_xlfn.IFS(
    Dataset[[#This Row],[Age]]&lt;=10, "0-10",
    AND(Dataset[[#This Row],[Age]]&gt;10, Dataset[[#This Row],[Age]]&lt;=18), "11-18",
    AND(Dataset[[#This Row],[Age]]&gt;18, Dataset[[#This Row],[Age]]&lt;=30), "19-30",
    AND(Dataset[[#This Row],[Age]]&gt;30, Dataset[[#This Row],[Age]]&lt;=60), "31-60",
    Dataset[[#This Row],[Age]]&gt;60, "above 60"
)</calculatedColumnFormula>
    </tableColumn>
    <tableColumn id="3" xr3:uid="{66031124-A634-4EE9-ABE2-E4F600CE891E}" uniqueName="3" name="NS1" queryTableFieldId="3"/>
    <tableColumn id="4" xr3:uid="{37101BA5-5BB2-426D-8E70-3065BBBBA40E}" uniqueName="4" name="IgG" queryTableFieldId="4"/>
    <tableColumn id="5" xr3:uid="{3C1F753B-A08E-4BDA-B904-5491F90B6112}" uniqueName="5" name="IgM" queryTableFieldId="5"/>
    <tableColumn id="9" xr3:uid="{F146C6C3-031A-4260-8BE2-DF680315C535}" uniqueName="9" name="Risk Type" queryTableFieldId="17" dataDxfId="3">
      <calculatedColumnFormula>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calculatedColumnFormula>
    </tableColumn>
    <tableColumn id="6" xr3:uid="{EF03A624-801F-41A9-B2C8-07EF7E461463}" uniqueName="6" name="Area" queryTableFieldId="6" dataDxfId="2"/>
    <tableColumn id="7" xr3:uid="{8E4A09A0-2D75-4291-9645-70A3D7DB96CE}" uniqueName="7" name="AreaType" queryTableFieldId="7" dataDxfId="1"/>
    <tableColumn id="8" xr3:uid="{499B861D-F16C-4187-B343-F930B6E22D34}" uniqueName="8" name="HouseType" queryTableFieldId="8" dataDxfId="0"/>
    <tableColumn id="10" xr3:uid="{4739A0C2-BC2D-4654-9B1B-417830642E2C}" uniqueName="10" name="Outcome" queryTableFieldId="1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Grayscale">
      <a:dk1>
        <a:sysClr val="windowText" lastClr="000000"/>
      </a:dk1>
      <a:lt1>
        <a:sysClr val="window" lastClr="FFFFFF"/>
      </a:lt1>
      <a:dk2>
        <a:srgbClr val="000000"/>
      </a:dk2>
      <a:lt2>
        <a:srgbClr val="F8F8F8"/>
      </a:lt2>
      <a:accent1>
        <a:srgbClr val="DDDDDD"/>
      </a:accent1>
      <a:accent2>
        <a:srgbClr val="B2B2B2"/>
      </a:accent2>
      <a:accent3>
        <a:srgbClr val="969696"/>
      </a:accent3>
      <a:accent4>
        <a:srgbClr val="808080"/>
      </a:accent4>
      <a:accent5>
        <a:srgbClr val="5F5F5F"/>
      </a:accent5>
      <a:accent6>
        <a:srgbClr val="4D4D4D"/>
      </a:accent6>
      <a:hlink>
        <a:srgbClr val="5F5F5F"/>
      </a:hlink>
      <a:folHlink>
        <a:srgbClr val="919191"/>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Glossy">
      <a:fillStyleLst>
        <a:solidFill>
          <a:schemeClr val="phClr"/>
        </a:solidFill>
        <a:gradFill rotWithShape="1">
          <a:gsLst>
            <a:gs pos="0">
              <a:schemeClr val="phClr">
                <a:tint val="62000"/>
                <a:satMod val="180000"/>
              </a:schemeClr>
            </a:gs>
            <a:gs pos="65000">
              <a:schemeClr val="phClr">
                <a:tint val="32000"/>
                <a:satMod val="250000"/>
              </a:schemeClr>
            </a:gs>
            <a:gs pos="100000">
              <a:schemeClr val="phClr">
                <a:tint val="23000"/>
                <a:satMod val="300000"/>
              </a:schemeClr>
            </a:gs>
          </a:gsLst>
          <a:lin ang="16200000" scaled="0"/>
        </a:gradFill>
        <a:gradFill rotWithShape="1">
          <a:gsLst>
            <a:gs pos="0">
              <a:schemeClr val="phClr">
                <a:shade val="15000"/>
                <a:satMod val="180000"/>
              </a:schemeClr>
            </a:gs>
            <a:gs pos="50000">
              <a:schemeClr val="phClr">
                <a:shade val="45000"/>
                <a:satMod val="170000"/>
              </a:schemeClr>
            </a:gs>
            <a:gs pos="70000">
              <a:schemeClr val="phClr">
                <a:tint val="99000"/>
                <a:shade val="65000"/>
                <a:satMod val="155000"/>
              </a:schemeClr>
            </a:gs>
            <a:gs pos="100000">
              <a:schemeClr val="phClr">
                <a:tint val="95500"/>
                <a:shade val="100000"/>
                <a:satMod val="155000"/>
              </a:schemeClr>
            </a:gs>
          </a:gsLst>
          <a:lin ang="16200000" scaled="0"/>
        </a:gradFill>
      </a:fillStyleLst>
      <a:lnStyleLst>
        <a:ln w="12700" cap="flat" cmpd="sng" algn="ctr">
          <a:solidFill>
            <a:schemeClr val="phClr">
              <a:tint val="95000"/>
              <a:shade val="95000"/>
              <a:satMod val="120000"/>
            </a:schemeClr>
          </a:solidFill>
          <a:prstDash val="solid"/>
        </a:ln>
        <a:ln w="55000" cap="flat" cmpd="thickThin" algn="ctr">
          <a:solidFill>
            <a:schemeClr val="phClr">
              <a:tint val="90000"/>
              <a:satMod val="130000"/>
            </a:schemeClr>
          </a:solidFill>
          <a:prstDash val="solid"/>
        </a:ln>
        <a:ln w="50800" cap="flat" cmpd="sng" algn="ctr">
          <a:solidFill>
            <a:schemeClr val="phClr"/>
          </a:solidFill>
          <a:prstDash val="solid"/>
        </a:ln>
      </a:lnStyleLst>
      <a:effectStyleLst>
        <a:effectStyle>
          <a:effectLst>
            <a:outerShdw blurRad="50800" dist="38100" dir="5400000" rotWithShape="0">
              <a:srgbClr val="000000">
                <a:alpha val="35000"/>
              </a:srgbClr>
            </a:outerShdw>
          </a:effectLst>
        </a:effectStyle>
        <a:effectStyle>
          <a:effectLst>
            <a:outerShdw blurRad="50800" dist="38100" dir="5400000" rotWithShape="0">
              <a:srgbClr val="000000">
                <a:alpha val="35000"/>
              </a:srgbClr>
            </a:outerShdw>
          </a:effectLst>
        </a:effectStyle>
        <a:effectStyle>
          <a:effectLst>
            <a:outerShdw blurRad="63500" dist="38100" dir="5400000" rotWithShape="0">
              <a:srgbClr val="000000">
                <a:alpha val="45000"/>
              </a:srgbClr>
            </a:outerShdw>
          </a:effectLst>
          <a:scene3d>
            <a:camera prst="orthographicFront">
              <a:rot lat="0" lon="0" rev="0"/>
            </a:camera>
            <a:lightRig rig="glow" dir="t">
              <a:rot lat="0" lon="0" rev="6360000"/>
            </a:lightRig>
          </a:scene3d>
          <a:sp3d contourW="1000" prstMaterial="flat">
            <a:bevelT w="95250" h="101600"/>
            <a:contourClr>
              <a:schemeClr val="phClr">
                <a:satMod val="300000"/>
              </a:schemeClr>
            </a:contourClr>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microsoft.com/office/2007/relationships/slicer" Target="../slicers/slicer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26" Type="http://schemas.microsoft.com/office/2007/relationships/slicer" Target="../slicers/slicer3.xml"/><Relationship Id="rId3" Type="http://schemas.openxmlformats.org/officeDocument/2006/relationships/pivotTable" Target="../pivotTables/pivotTable3.xml"/><Relationship Id="rId21" Type="http://schemas.openxmlformats.org/officeDocument/2006/relationships/drawing" Target="../drawings/drawing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5" Type="http://schemas.openxmlformats.org/officeDocument/2006/relationships/table" Target="../tables/table2.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24" Type="http://schemas.openxmlformats.org/officeDocument/2006/relationships/table" Target="../tables/table1.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ctrlProp" Target="../ctrlProps/ctrlProp3.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62D83-5AE4-4A2C-BF91-F77E8BCE6203}">
  <sheetPr codeName="Sheet3"/>
  <dimension ref="A1"/>
  <sheetViews>
    <sheetView showGridLines="0" showRowColHeaders="0" tabSelected="1" zoomScale="80" zoomScaleNormal="80" workbookViewId="0">
      <selection sqref="A1:XFD1048576"/>
    </sheetView>
  </sheetViews>
  <sheetFormatPr defaultRowHeight="14.4" x14ac:dyDescent="0.3"/>
  <cols>
    <col min="1" max="16384" width="8.88671875" style="58"/>
  </cols>
  <sheetData/>
  <mergeCells count="1">
    <mergeCell ref="A1:XFD104857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autoFill="0" autoPict="0" macro="[0]!Clear_All_Workbook_Slicer_Filters">
                <anchor moveWithCells="1" sizeWithCells="1">
                  <from>
                    <xdr:col>18</xdr:col>
                    <xdr:colOff>15240</xdr:colOff>
                    <xdr:row>0</xdr:row>
                    <xdr:rowOff>160020</xdr:rowOff>
                  </from>
                  <to>
                    <xdr:col>19</xdr:col>
                    <xdr:colOff>350520</xdr:colOff>
                    <xdr:row>2</xdr:row>
                    <xdr:rowOff>30480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9BD963-E5D3-4AC7-9000-DCE4300AF360}">
  <sheetPr codeName="Sheet4"/>
  <dimension ref="A1:AT2"/>
  <sheetViews>
    <sheetView showGridLines="0" showRowColHeaders="0" zoomScale="80" zoomScaleNormal="80" workbookViewId="0">
      <selection sqref="A1:XFD1048576"/>
    </sheetView>
  </sheetViews>
  <sheetFormatPr defaultRowHeight="14.4" x14ac:dyDescent="0.3"/>
  <cols>
    <col min="1" max="16384" width="8.88671875" style="58"/>
  </cols>
  <sheetData>
    <row r="1" spans="1:46" x14ac:dyDescent="0.3">
      <c r="A1" s="58">
        <v>1</v>
      </c>
    </row>
    <row r="2" spans="1:46" x14ac:dyDescent="0.3">
      <c r="AT2" s="58">
        <v>38</v>
      </c>
    </row>
  </sheetData>
  <mergeCells count="1">
    <mergeCell ref="A1:XFD104857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1" r:id="rId4" name="Scroll Bar 5">
              <controlPr defaultSize="0" autoPict="0">
                <anchor moveWithCells="1">
                  <from>
                    <xdr:col>0</xdr:col>
                    <xdr:colOff>243840</xdr:colOff>
                    <xdr:row>20</xdr:row>
                    <xdr:rowOff>99060</xdr:rowOff>
                  </from>
                  <to>
                    <xdr:col>1</xdr:col>
                    <xdr:colOff>99060</xdr:colOff>
                    <xdr:row>37</xdr:row>
                    <xdr:rowOff>60960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4C250A-81A0-4089-8C9F-69529ED0BC2B}">
  <sheetPr codeName="Sheet2"/>
  <dimension ref="A1:CE997"/>
  <sheetViews>
    <sheetView topLeftCell="BI1" zoomScale="80" zoomScaleNormal="80" workbookViewId="0">
      <selection activeCell="BR3" sqref="BR3:CE3"/>
    </sheetView>
  </sheetViews>
  <sheetFormatPr defaultRowHeight="14.4" x14ac:dyDescent="0.3"/>
  <cols>
    <col min="1" max="1" width="15.6640625" bestFit="1" customWidth="1"/>
    <col min="2" max="3" width="27.88671875" bestFit="1" customWidth="1"/>
    <col min="4" max="4" width="17.44140625" bestFit="1" customWidth="1"/>
    <col min="5" max="5" width="13" bestFit="1" customWidth="1"/>
    <col min="6" max="6" width="15.6640625" bestFit="1" customWidth="1"/>
    <col min="7" max="7" width="18.21875" bestFit="1" customWidth="1"/>
    <col min="8" max="8" width="13.33203125" bestFit="1" customWidth="1"/>
    <col min="9" max="9" width="15.88671875" bestFit="1" customWidth="1"/>
    <col min="10" max="10" width="18.44140625" bestFit="1" customWidth="1"/>
    <col min="11" max="12" width="17" bestFit="1" customWidth="1"/>
    <col min="18" max="18" width="10.77734375" bestFit="1" customWidth="1"/>
    <col min="21" max="21" width="13.88671875" bestFit="1" customWidth="1"/>
    <col min="22" max="22" width="21.5546875" bestFit="1" customWidth="1"/>
    <col min="28" max="29" width="18.44140625" bestFit="1" customWidth="1"/>
    <col min="30" max="30" width="23.5546875" bestFit="1" customWidth="1"/>
    <col min="31" max="31" width="23.21875" bestFit="1" customWidth="1"/>
    <col min="32" max="32" width="23.5546875" bestFit="1" customWidth="1"/>
    <col min="33" max="33" width="17.109375" bestFit="1" customWidth="1"/>
    <col min="34" max="34" width="16" bestFit="1" customWidth="1"/>
    <col min="35" max="35" width="12.88671875" bestFit="1" customWidth="1"/>
    <col min="36" max="36" width="18" bestFit="1" customWidth="1"/>
    <col min="37" max="37" width="18.5546875" bestFit="1" customWidth="1"/>
    <col min="38" max="38" width="19.109375" bestFit="1" customWidth="1"/>
    <col min="39" max="39" width="18.77734375" bestFit="1" customWidth="1"/>
    <col min="40" max="41" width="13.33203125" bestFit="1" customWidth="1"/>
    <col min="42" max="42" width="17.109375" bestFit="1" customWidth="1"/>
    <col min="43" max="43" width="13" bestFit="1" customWidth="1"/>
    <col min="44" max="44" width="15.44140625" bestFit="1" customWidth="1"/>
    <col min="45" max="45" width="26.33203125" bestFit="1" customWidth="1"/>
    <col min="46" max="46" width="14.109375" bestFit="1" customWidth="1"/>
    <col min="52" max="52" width="14.6640625" bestFit="1" customWidth="1"/>
    <col min="53" max="53" width="20" bestFit="1" customWidth="1"/>
    <col min="64" max="65" width="7.109375" bestFit="1" customWidth="1"/>
    <col min="66" max="66" width="6.6640625" bestFit="1" customWidth="1"/>
    <col min="67" max="67" width="7.109375" bestFit="1" customWidth="1"/>
    <col min="68" max="68" width="11.6640625" bestFit="1" customWidth="1"/>
    <col min="70" max="70" width="16.109375" bestFit="1" customWidth="1"/>
    <col min="71" max="71" width="20" bestFit="1" customWidth="1"/>
    <col min="72" max="72" width="9.88671875" bestFit="1" customWidth="1"/>
    <col min="73" max="73" width="16.88671875" bestFit="1" customWidth="1"/>
    <col min="82" max="82" width="17.6640625" bestFit="1" customWidth="1"/>
    <col min="83" max="83" width="12.6640625" bestFit="1" customWidth="1"/>
  </cols>
  <sheetData>
    <row r="1" spans="1:83" x14ac:dyDescent="0.3">
      <c r="A1" s="14" t="s">
        <v>81</v>
      </c>
      <c r="B1" s="14" t="s">
        <v>61</v>
      </c>
      <c r="C1" s="14" t="s">
        <v>60</v>
      </c>
      <c r="D1" s="15"/>
      <c r="E1" s="16" t="s">
        <v>0</v>
      </c>
      <c r="F1" s="16" t="s">
        <v>82</v>
      </c>
      <c r="H1" s="15"/>
      <c r="I1" s="15"/>
      <c r="J1" s="15"/>
      <c r="K1" s="15"/>
      <c r="AM1" s="14" t="s">
        <v>5</v>
      </c>
      <c r="AN1" s="14" t="s">
        <v>94</v>
      </c>
      <c r="BL1" t="s">
        <v>1</v>
      </c>
      <c r="BM1" t="s">
        <v>2</v>
      </c>
      <c r="BN1" t="s">
        <v>3</v>
      </c>
      <c r="BO1" t="s">
        <v>4</v>
      </c>
      <c r="BP1" t="s">
        <v>8</v>
      </c>
    </row>
    <row r="2" spans="1:83" ht="46.2" x14ac:dyDescent="0.3">
      <c r="A2" s="17">
        <v>996</v>
      </c>
      <c r="B2" s="17">
        <v>533</v>
      </c>
      <c r="C2" s="16">
        <v>0.53514056224899598</v>
      </c>
      <c r="D2" s="15"/>
      <c r="E2" s="16" t="s">
        <v>9</v>
      </c>
      <c r="F2" s="16">
        <v>0.5272045028142589</v>
      </c>
      <c r="H2" s="15"/>
      <c r="I2" s="15"/>
      <c r="J2" s="15"/>
      <c r="K2" s="15"/>
      <c r="N2" s="61" t="s">
        <v>84</v>
      </c>
      <c r="O2" s="61"/>
      <c r="P2" s="61"/>
      <c r="Q2" s="61"/>
      <c r="R2" s="61"/>
      <c r="S2" s="61"/>
      <c r="T2" s="61"/>
      <c r="U2" s="61"/>
      <c r="V2" s="61"/>
      <c r="W2" s="61"/>
      <c r="X2" s="61"/>
      <c r="Y2" s="61"/>
      <c r="Z2" s="5"/>
      <c r="AA2" s="5"/>
      <c r="AB2" s="62" t="s">
        <v>67</v>
      </c>
      <c r="AC2" s="62"/>
      <c r="AD2" s="62"/>
      <c r="AE2" s="62"/>
      <c r="AF2" s="62"/>
      <c r="AG2" s="62"/>
      <c r="AH2" s="62"/>
      <c r="AI2" s="62"/>
      <c r="AJ2" s="62"/>
      <c r="AK2" s="62"/>
      <c r="AL2" s="6"/>
      <c r="AM2" s="14" t="s">
        <v>32</v>
      </c>
      <c r="AN2" s="17">
        <v>14</v>
      </c>
      <c r="AO2" s="6"/>
      <c r="AP2" t="str" cm="1">
        <f t="array" aca="1" ref="AP2:AQ38" ca="1">OFFSET(AM1:AN37,0,0)</f>
        <v>Area</v>
      </c>
      <c r="AQ2" t="str">
        <f ca="1"/>
        <v>Positive Cases</v>
      </c>
      <c r="AT2">
        <v>38</v>
      </c>
      <c r="AU2">
        <f>COUNT(AN:AN)-9</f>
        <v>27</v>
      </c>
      <c r="AV2">
        <f>MIN(AT2:AU2)</f>
        <v>27</v>
      </c>
      <c r="BL2">
        <v>45</v>
      </c>
      <c r="BM2">
        <v>0</v>
      </c>
      <c r="BN2">
        <v>0</v>
      </c>
      <c r="BO2">
        <v>0</v>
      </c>
      <c r="BP2">
        <v>0</v>
      </c>
      <c r="BR2" s="32"/>
      <c r="BS2" s="32"/>
      <c r="BT2" s="32"/>
      <c r="BU2" s="32"/>
      <c r="BV2" s="32"/>
      <c r="BW2" s="32"/>
      <c r="BX2" s="32"/>
      <c r="BY2" s="32"/>
      <c r="BZ2" s="32"/>
      <c r="CA2" s="32"/>
      <c r="CB2" s="32"/>
      <c r="CC2" s="32"/>
      <c r="CD2" s="32"/>
      <c r="CE2" s="32"/>
    </row>
    <row r="3" spans="1:83" ht="92.4" thickBot="1" x14ac:dyDescent="1.7">
      <c r="A3" s="15"/>
      <c r="B3" s="15"/>
      <c r="C3" s="15"/>
      <c r="D3" s="15"/>
      <c r="E3" s="16" t="s">
        <v>13</v>
      </c>
      <c r="F3" s="16">
        <v>0.4727954971857411</v>
      </c>
      <c r="H3" s="15"/>
      <c r="I3" s="15"/>
      <c r="J3" s="15"/>
      <c r="K3" s="15"/>
      <c r="N3" s="61"/>
      <c r="O3" s="61"/>
      <c r="P3" s="61"/>
      <c r="Q3" s="61"/>
      <c r="R3" s="61"/>
      <c r="S3" s="61"/>
      <c r="T3" s="61"/>
      <c r="U3" s="61"/>
      <c r="V3" s="61"/>
      <c r="W3" s="61"/>
      <c r="X3" s="61"/>
      <c r="Y3" s="61"/>
      <c r="Z3" s="5"/>
      <c r="AA3" s="5"/>
      <c r="AB3" s="62"/>
      <c r="AC3" s="62"/>
      <c r="AD3" s="62"/>
      <c r="AE3" s="62"/>
      <c r="AF3" s="62"/>
      <c r="AG3" s="62"/>
      <c r="AH3" s="62"/>
      <c r="AI3" s="62"/>
      <c r="AJ3" s="62"/>
      <c r="AK3" s="62"/>
      <c r="AL3" s="6"/>
      <c r="AM3" s="14" t="s">
        <v>36</v>
      </c>
      <c r="AN3" s="17">
        <v>17</v>
      </c>
      <c r="AO3" s="30">
        <f ca="1">RANK(AQ3,$AQ$3:$AQ$38)</f>
        <v>15</v>
      </c>
      <c r="AP3" t="str">
        <f ca="1"/>
        <v>Adabor</v>
      </c>
      <c r="AQ3">
        <f ca="1"/>
        <v>14</v>
      </c>
      <c r="AS3" t="str" cm="1">
        <f t="array" aca="1" ref="AS3:AT12" ca="1">OFFSET(AM1:AN37,$AV$2,0,10)</f>
        <v>Pallabi</v>
      </c>
      <c r="AT3">
        <f ca="1"/>
        <v>14</v>
      </c>
      <c r="BL3">
        <v>17</v>
      </c>
      <c r="BM3">
        <v>0</v>
      </c>
      <c r="BN3">
        <v>0</v>
      </c>
      <c r="BO3">
        <v>1</v>
      </c>
      <c r="BP3">
        <v>0</v>
      </c>
      <c r="BR3" s="59" t="s">
        <v>124</v>
      </c>
      <c r="BS3" s="60"/>
      <c r="BT3" s="60"/>
      <c r="BU3" s="60"/>
      <c r="BV3" s="60"/>
      <c r="BW3" s="60"/>
      <c r="BX3" s="60"/>
      <c r="BY3" s="60"/>
      <c r="BZ3" s="60"/>
      <c r="CA3" s="60"/>
      <c r="CB3" s="60"/>
      <c r="CC3" s="60"/>
      <c r="CD3" s="60"/>
      <c r="CE3" s="60"/>
    </row>
    <row r="4" spans="1:83" x14ac:dyDescent="0.3">
      <c r="A4" s="16" t="s">
        <v>0</v>
      </c>
      <c r="B4" s="16" t="s">
        <v>85</v>
      </c>
      <c r="D4" s="15"/>
      <c r="E4" s="18"/>
      <c r="F4" s="18"/>
      <c r="G4" s="14"/>
      <c r="H4" s="15"/>
      <c r="I4" s="15"/>
      <c r="J4" s="15"/>
      <c r="K4" s="15"/>
      <c r="N4" s="2"/>
      <c r="O4" s="2"/>
      <c r="P4" s="2"/>
      <c r="Q4" s="2"/>
      <c r="R4" s="2"/>
      <c r="S4" s="2"/>
      <c r="T4" s="2"/>
      <c r="U4" s="2"/>
      <c r="V4" s="2"/>
      <c r="W4" s="2"/>
      <c r="X4" s="2"/>
      <c r="Y4" s="2"/>
      <c r="Z4" s="4"/>
      <c r="AA4" s="4"/>
      <c r="AB4" s="7" t="s">
        <v>68</v>
      </c>
      <c r="AC4" s="7" t="s">
        <v>70</v>
      </c>
      <c r="AD4" s="7" t="s">
        <v>71</v>
      </c>
      <c r="AE4" s="7" t="s">
        <v>72</v>
      </c>
      <c r="AF4" s="7" t="s">
        <v>73</v>
      </c>
      <c r="AG4" s="7" t="s">
        <v>77</v>
      </c>
      <c r="AH4" s="7" t="s">
        <v>78</v>
      </c>
      <c r="AI4" s="7" t="s">
        <v>79</v>
      </c>
      <c r="AJ4" s="7" t="s">
        <v>69</v>
      </c>
      <c r="AK4" s="7"/>
      <c r="AL4" s="4"/>
      <c r="AM4" s="14" t="s">
        <v>43</v>
      </c>
      <c r="AN4" s="17">
        <v>10</v>
      </c>
      <c r="AO4" s="30">
        <f t="shared" ref="AO4:AO38" ca="1" si="0">RANK(AQ4,$AQ$3:$AQ$38)</f>
        <v>8</v>
      </c>
      <c r="AP4" t="str">
        <f ca="1"/>
        <v>Badda</v>
      </c>
      <c r="AQ4">
        <f ca="1"/>
        <v>17</v>
      </c>
      <c r="AS4" t="str">
        <f ca="1"/>
        <v>Paltan</v>
      </c>
      <c r="AT4">
        <f ca="1"/>
        <v>14</v>
      </c>
      <c r="AZ4" s="14" t="s">
        <v>7</v>
      </c>
      <c r="BA4" s="14" t="s">
        <v>61</v>
      </c>
      <c r="BL4">
        <v>29</v>
      </c>
      <c r="BM4">
        <v>0</v>
      </c>
      <c r="BN4">
        <v>0</v>
      </c>
      <c r="BO4">
        <v>0</v>
      </c>
      <c r="BP4">
        <v>0</v>
      </c>
      <c r="BR4" s="33"/>
      <c r="BS4" s="34" t="s">
        <v>1</v>
      </c>
      <c r="BT4" s="34" t="s">
        <v>2</v>
      </c>
      <c r="BU4" s="34" t="s">
        <v>3</v>
      </c>
      <c r="BV4" s="34" t="s">
        <v>4</v>
      </c>
      <c r="BW4" s="35" t="s">
        <v>8</v>
      </c>
      <c r="BX4" s="32"/>
      <c r="BY4" s="32"/>
      <c r="BZ4" s="32"/>
      <c r="CA4" s="32"/>
      <c r="CB4" s="32"/>
      <c r="CC4" s="32"/>
      <c r="CD4" s="32"/>
      <c r="CE4" s="32"/>
    </row>
    <row r="5" spans="1:83" ht="15" thickBot="1" x14ac:dyDescent="0.35">
      <c r="A5" s="16" t="s">
        <v>9</v>
      </c>
      <c r="B5" s="23">
        <v>281</v>
      </c>
      <c r="D5" s="15"/>
      <c r="E5" s="16" t="s">
        <v>6</v>
      </c>
      <c r="F5" s="16" t="s">
        <v>7</v>
      </c>
      <c r="G5" s="16" t="s">
        <v>82</v>
      </c>
      <c r="H5" s="15"/>
      <c r="I5" s="15"/>
      <c r="J5" s="15"/>
      <c r="K5" s="15"/>
      <c r="N5" s="64" t="s">
        <v>64</v>
      </c>
      <c r="O5" s="64"/>
      <c r="P5" s="64"/>
      <c r="Q5" s="2"/>
      <c r="R5" s="65"/>
      <c r="S5" s="65"/>
      <c r="T5" s="2"/>
      <c r="U5" s="2"/>
      <c r="V5" s="2"/>
      <c r="W5" s="2"/>
      <c r="X5" s="2"/>
      <c r="Y5" s="2"/>
      <c r="Z5" s="4"/>
      <c r="AA5" s="4"/>
      <c r="AB5" s="8">
        <v>0.52108433734939763</v>
      </c>
      <c r="AC5" s="8">
        <v>0.47489959839357432</v>
      </c>
      <c r="AD5" s="9">
        <v>519</v>
      </c>
      <c r="AE5" s="9">
        <v>533</v>
      </c>
      <c r="AF5" s="9">
        <v>259</v>
      </c>
      <c r="AG5" s="8">
        <v>0.97373358348968109</v>
      </c>
      <c r="AH5" s="8">
        <v>1</v>
      </c>
      <c r="AI5" s="8">
        <v>0.48592870544090055</v>
      </c>
      <c r="AJ5" s="8">
        <v>0.53514056224899598</v>
      </c>
      <c r="AK5" s="7"/>
      <c r="AM5" s="14" t="s">
        <v>37</v>
      </c>
      <c r="AN5" s="17">
        <v>24</v>
      </c>
      <c r="AO5" s="30">
        <f t="shared" ca="1" si="0"/>
        <v>29</v>
      </c>
      <c r="AP5" t="str">
        <f ca="1"/>
        <v>Banasree</v>
      </c>
      <c r="AQ5">
        <f ca="1"/>
        <v>10</v>
      </c>
      <c r="AS5" t="str">
        <f ca="1"/>
        <v>Ramna</v>
      </c>
      <c r="AT5">
        <f ca="1"/>
        <v>10</v>
      </c>
      <c r="AZ5" s="14" t="s">
        <v>12</v>
      </c>
      <c r="BA5" s="17">
        <v>191</v>
      </c>
      <c r="BL5">
        <v>63</v>
      </c>
      <c r="BM5">
        <v>1</v>
      </c>
      <c r="BN5">
        <v>1</v>
      </c>
      <c r="BO5">
        <v>0</v>
      </c>
      <c r="BP5">
        <v>1</v>
      </c>
      <c r="BR5" s="36" t="s">
        <v>1</v>
      </c>
      <c r="BS5" s="37"/>
      <c r="BT5" s="37"/>
      <c r="BU5" s="37"/>
      <c r="BV5" s="37"/>
      <c r="BW5" s="38"/>
      <c r="BX5" s="32"/>
      <c r="BY5" s="32"/>
      <c r="BZ5" s="32"/>
      <c r="CA5" s="32"/>
      <c r="CB5" s="32"/>
      <c r="CC5" s="32"/>
      <c r="CD5" s="32"/>
      <c r="CE5" s="32"/>
    </row>
    <row r="6" spans="1:83" x14ac:dyDescent="0.3">
      <c r="A6" s="16" t="s">
        <v>13</v>
      </c>
      <c r="B6" s="23">
        <v>252</v>
      </c>
      <c r="D6" s="15"/>
      <c r="E6" s="16" t="s">
        <v>15</v>
      </c>
      <c r="F6" s="16" t="s">
        <v>12</v>
      </c>
      <c r="G6" s="16">
        <v>0.17823639774859287</v>
      </c>
      <c r="H6" s="15"/>
      <c r="I6" s="15"/>
      <c r="J6" s="15"/>
      <c r="K6" s="15"/>
      <c r="N6" s="65" t="s">
        <v>56</v>
      </c>
      <c r="O6" s="65"/>
      <c r="P6" s="65">
        <f>GETPIVOTDATA("[Measures].[Count of Outcome]",$A$1)</f>
        <v>996</v>
      </c>
      <c r="Q6" s="2"/>
      <c r="R6" s="2"/>
      <c r="S6" s="2"/>
      <c r="T6" s="2"/>
      <c r="U6" s="2"/>
      <c r="V6" s="2"/>
      <c r="W6" s="2"/>
      <c r="X6" s="2"/>
      <c r="Y6" s="2"/>
      <c r="Z6" s="4"/>
      <c r="AA6" s="4"/>
      <c r="AB6" s="7"/>
      <c r="AC6" s="7"/>
      <c r="AD6" s="7"/>
      <c r="AE6" s="7"/>
      <c r="AF6" s="7"/>
      <c r="AG6" s="7"/>
      <c r="AH6" s="7"/>
      <c r="AI6" s="7"/>
      <c r="AJ6" s="7"/>
      <c r="AK6" s="7"/>
      <c r="AM6" s="14" t="s">
        <v>34</v>
      </c>
      <c r="AN6" s="17">
        <v>12</v>
      </c>
      <c r="AO6" s="30">
        <f t="shared" ca="1" si="0"/>
        <v>3</v>
      </c>
      <c r="AP6" t="str">
        <f ca="1"/>
        <v>Bangshal</v>
      </c>
      <c r="AQ6">
        <f ca="1"/>
        <v>24</v>
      </c>
      <c r="AS6" t="str">
        <f ca="1"/>
        <v>Rampura</v>
      </c>
      <c r="AT6">
        <f ca="1"/>
        <v>14</v>
      </c>
      <c r="AZ6" s="14" t="s">
        <v>17</v>
      </c>
      <c r="BA6" s="17">
        <v>169</v>
      </c>
      <c r="BL6">
        <v>22</v>
      </c>
      <c r="BM6">
        <v>0</v>
      </c>
      <c r="BN6">
        <v>0</v>
      </c>
      <c r="BO6">
        <v>0</v>
      </c>
      <c r="BP6">
        <v>0</v>
      </c>
      <c r="BR6" s="36" t="s">
        <v>2</v>
      </c>
      <c r="BS6" s="39">
        <v>-7.3377591863061087E-3</v>
      </c>
      <c r="BT6" s="39"/>
      <c r="BU6" s="39"/>
      <c r="BV6" s="39"/>
      <c r="BW6" s="38"/>
      <c r="BX6" s="32"/>
      <c r="BY6" s="32"/>
      <c r="BZ6" s="32"/>
      <c r="CA6" s="32"/>
      <c r="CB6" s="32"/>
      <c r="CC6" s="32"/>
      <c r="CD6" s="40" t="s">
        <v>1</v>
      </c>
      <c r="CE6" s="40"/>
    </row>
    <row r="7" spans="1:83" x14ac:dyDescent="0.3">
      <c r="A7" s="18"/>
      <c r="B7" s="18"/>
      <c r="C7" s="14"/>
      <c r="D7" s="15"/>
      <c r="E7" s="16" t="s">
        <v>15</v>
      </c>
      <c r="F7" s="16" t="s">
        <v>17</v>
      </c>
      <c r="G7" s="16">
        <v>0.15009380863039401</v>
      </c>
      <c r="H7" s="15"/>
      <c r="I7" s="15"/>
      <c r="J7" s="15"/>
      <c r="K7" s="15"/>
      <c r="N7" s="65"/>
      <c r="O7" s="65"/>
      <c r="P7" s="65"/>
      <c r="Q7" s="2"/>
      <c r="R7" s="2"/>
      <c r="S7" s="2"/>
      <c r="T7" s="2"/>
      <c r="U7" s="2"/>
      <c r="V7" s="2"/>
      <c r="W7" s="2"/>
      <c r="X7" s="2"/>
      <c r="Y7" s="2"/>
      <c r="Z7" s="4"/>
      <c r="AA7" s="4"/>
      <c r="AB7" s="7"/>
      <c r="AC7" s="7"/>
      <c r="AD7" s="7"/>
      <c r="AE7" s="7"/>
      <c r="AF7" s="7"/>
      <c r="AG7" s="7"/>
      <c r="AK7" s="7"/>
      <c r="AM7" s="14" t="s">
        <v>30</v>
      </c>
      <c r="AN7" s="17">
        <v>11</v>
      </c>
      <c r="AO7" s="30">
        <f t="shared" ca="1" si="0"/>
        <v>23</v>
      </c>
      <c r="AP7" t="str">
        <f ca="1"/>
        <v>Biman Bandar</v>
      </c>
      <c r="AQ7">
        <f ca="1"/>
        <v>12</v>
      </c>
      <c r="AS7" t="str">
        <f ca="1"/>
        <v>Sabujbagh</v>
      </c>
      <c r="AT7">
        <f ca="1"/>
        <v>15</v>
      </c>
      <c r="AZ7" s="14" t="s">
        <v>22</v>
      </c>
      <c r="BA7" s="17">
        <v>173</v>
      </c>
      <c r="BL7">
        <v>36</v>
      </c>
      <c r="BM7">
        <v>0</v>
      </c>
      <c r="BN7">
        <v>0</v>
      </c>
      <c r="BO7">
        <v>1</v>
      </c>
      <c r="BP7">
        <v>0</v>
      </c>
      <c r="BR7" s="36" t="s">
        <v>3</v>
      </c>
      <c r="BS7" s="39">
        <v>-9.1068322282901112E-3</v>
      </c>
      <c r="BT7" s="39">
        <v>0.97219051669196899</v>
      </c>
      <c r="BU7" s="39"/>
      <c r="BV7" s="39"/>
      <c r="BW7" s="38"/>
      <c r="BX7" s="32"/>
      <c r="BY7" s="32"/>
      <c r="BZ7" s="32"/>
      <c r="CA7" s="32"/>
      <c r="CB7" s="32"/>
      <c r="CC7" s="32"/>
      <c r="CD7" s="37"/>
      <c r="CE7" s="37"/>
    </row>
    <row r="8" spans="1:83" x14ac:dyDescent="0.3">
      <c r="A8" s="14" t="s">
        <v>5</v>
      </c>
      <c r="B8" s="14" t="s">
        <v>61</v>
      </c>
      <c r="C8" s="15"/>
      <c r="D8" s="15"/>
      <c r="E8" s="16" t="s">
        <v>15</v>
      </c>
      <c r="F8" s="16" t="s">
        <v>22</v>
      </c>
      <c r="G8" s="16">
        <v>0.15384615384615385</v>
      </c>
      <c r="H8" s="15"/>
      <c r="I8" s="15"/>
      <c r="J8" s="15"/>
      <c r="K8" s="15"/>
      <c r="N8" s="2"/>
      <c r="O8" s="2"/>
      <c r="P8" s="2"/>
      <c r="Q8" s="2"/>
      <c r="R8" s="2"/>
      <c r="S8" s="2"/>
      <c r="T8" s="2"/>
      <c r="U8" s="2"/>
      <c r="V8" s="2"/>
      <c r="W8" s="2"/>
      <c r="X8" s="2"/>
      <c r="Y8" s="2"/>
      <c r="Z8" s="4"/>
      <c r="AA8" s="4"/>
      <c r="AB8" s="10" t="s">
        <v>74</v>
      </c>
      <c r="AC8" s="10" t="s">
        <v>75</v>
      </c>
      <c r="AD8" s="10" t="s">
        <v>80</v>
      </c>
      <c r="AE8" s="10" t="s">
        <v>76</v>
      </c>
      <c r="AF8" s="7"/>
      <c r="AG8" s="7"/>
      <c r="AK8" s="7"/>
      <c r="AM8" s="14" t="s">
        <v>44</v>
      </c>
      <c r="AN8" s="17">
        <v>12</v>
      </c>
      <c r="AO8" s="30">
        <f t="shared" ca="1" si="0"/>
        <v>26</v>
      </c>
      <c r="AP8" t="str">
        <f ca="1"/>
        <v>Bosila</v>
      </c>
      <c r="AQ8">
        <f ca="1"/>
        <v>11</v>
      </c>
      <c r="AS8" t="str">
        <f ca="1"/>
        <v>Shahbagh</v>
      </c>
      <c r="AT8">
        <f ca="1"/>
        <v>11</v>
      </c>
      <c r="BL8">
        <v>15</v>
      </c>
      <c r="BM8">
        <v>0</v>
      </c>
      <c r="BN8">
        <v>0</v>
      </c>
      <c r="BO8">
        <v>1</v>
      </c>
      <c r="BP8">
        <v>0</v>
      </c>
      <c r="BR8" s="36" t="s">
        <v>4</v>
      </c>
      <c r="BS8" s="39">
        <v>4.5799324346145108E-2</v>
      </c>
      <c r="BT8" s="39">
        <v>4.6393317978154693E-2</v>
      </c>
      <c r="BU8" s="39">
        <v>2.3696891746642704E-2</v>
      </c>
      <c r="BV8" s="39"/>
      <c r="BW8" s="38"/>
      <c r="BX8" s="32"/>
      <c r="BY8" s="32"/>
      <c r="BZ8" s="32"/>
      <c r="CA8" s="32"/>
      <c r="CB8" s="32"/>
      <c r="CC8" s="32"/>
      <c r="CD8" s="37" t="s">
        <v>110</v>
      </c>
      <c r="CE8" s="37">
        <v>35.882530120481931</v>
      </c>
    </row>
    <row r="9" spans="1:83" ht="15" thickBot="1" x14ac:dyDescent="0.35">
      <c r="A9" s="14" t="s">
        <v>31</v>
      </c>
      <c r="B9" s="17">
        <v>31</v>
      </c>
      <c r="C9" s="15"/>
      <c r="D9" s="15"/>
      <c r="E9" s="16" t="s">
        <v>11</v>
      </c>
      <c r="F9" s="16" t="s">
        <v>12</v>
      </c>
      <c r="G9" s="16">
        <v>0.1801125703564728</v>
      </c>
      <c r="H9" s="15"/>
      <c r="I9" s="15"/>
      <c r="J9" s="15"/>
      <c r="K9" s="15"/>
      <c r="N9" s="65" t="s">
        <v>53</v>
      </c>
      <c r="O9" s="65"/>
      <c r="P9" s="65">
        <f>GETPIVOTDATA("[Measures].[Sum of Outcome]",$B$1)</f>
        <v>533</v>
      </c>
      <c r="Q9" s="2"/>
      <c r="R9" s="2"/>
      <c r="S9" s="2"/>
      <c r="T9" s="2"/>
      <c r="U9" s="2"/>
      <c r="V9" s="2"/>
      <c r="W9" s="2"/>
      <c r="X9" s="2"/>
      <c r="Y9" s="2"/>
      <c r="Z9" s="4"/>
      <c r="AA9" s="4"/>
      <c r="AB9" s="11" t="s">
        <v>2</v>
      </c>
      <c r="AC9" s="12">
        <f>GETPIVOTDATA("[Measures].[NS1_Positivity_Rate]",$AB$4)</f>
        <v>0.52108433734939763</v>
      </c>
      <c r="AD9" s="13">
        <f>GETPIVOTDATA("[Measures].[NS1_Effectiveness]",$AB$4)</f>
        <v>0.97373358348968109</v>
      </c>
      <c r="AE9" s="11">
        <f>GETPIVOTDATA("[Measures].[Confirmed_NS1_Positives]",$AB$4)</f>
        <v>519</v>
      </c>
      <c r="AF9" s="7"/>
      <c r="AG9" s="7"/>
      <c r="AK9" s="7"/>
      <c r="AM9" s="14" t="s">
        <v>14</v>
      </c>
      <c r="AN9" s="17">
        <v>11</v>
      </c>
      <c r="AO9" s="30">
        <f t="shared" ca="1" si="0"/>
        <v>23</v>
      </c>
      <c r="AP9" t="str">
        <f ca="1"/>
        <v>Cantonment</v>
      </c>
      <c r="AQ9">
        <f ca="1"/>
        <v>12</v>
      </c>
      <c r="AS9" t="str">
        <f ca="1"/>
        <v>Sher-e-Bangla Nagar</v>
      </c>
      <c r="AT9">
        <f ca="1"/>
        <v>9</v>
      </c>
      <c r="BL9">
        <v>26</v>
      </c>
      <c r="BM9">
        <v>0</v>
      </c>
      <c r="BN9">
        <v>0</v>
      </c>
      <c r="BO9">
        <v>0</v>
      </c>
      <c r="BP9">
        <v>0</v>
      </c>
      <c r="BR9" s="41" t="s">
        <v>8</v>
      </c>
      <c r="BS9" s="42">
        <v>-9.1068322282901112E-3</v>
      </c>
      <c r="BT9" s="42">
        <v>0.97219051669196932</v>
      </c>
      <c r="BU9" s="42">
        <v>1</v>
      </c>
      <c r="BV9" s="42">
        <v>2.3696891746642704E-2</v>
      </c>
      <c r="BW9" s="43"/>
      <c r="BX9" s="32"/>
      <c r="BY9" s="32"/>
      <c r="BZ9" s="32"/>
      <c r="CA9" s="32"/>
      <c r="CB9" s="32"/>
      <c r="CC9" s="32"/>
      <c r="CD9" s="37" t="s">
        <v>111</v>
      </c>
      <c r="CE9" s="37">
        <v>0.52128249565642526</v>
      </c>
    </row>
    <row r="10" spans="1:83" x14ac:dyDescent="0.3">
      <c r="A10" s="14" t="s">
        <v>42</v>
      </c>
      <c r="B10" s="17">
        <v>26</v>
      </c>
      <c r="C10" s="15"/>
      <c r="D10" s="15"/>
      <c r="E10" s="16" t="s">
        <v>11</v>
      </c>
      <c r="F10" s="16" t="s">
        <v>17</v>
      </c>
      <c r="G10" s="16">
        <v>0.16697936210131331</v>
      </c>
      <c r="H10" s="15"/>
      <c r="I10" s="15"/>
      <c r="J10" s="15"/>
      <c r="K10" s="15"/>
      <c r="N10" s="65"/>
      <c r="O10" s="65"/>
      <c r="P10" s="65"/>
      <c r="Q10" s="2"/>
      <c r="R10" s="2"/>
      <c r="S10" s="2"/>
      <c r="T10" s="2"/>
      <c r="U10" s="2"/>
      <c r="V10" s="2"/>
      <c r="W10" s="2"/>
      <c r="X10" s="2"/>
      <c r="Y10" s="2"/>
      <c r="Z10" s="4"/>
      <c r="AA10" s="4"/>
      <c r="AB10" s="11" t="s">
        <v>3</v>
      </c>
      <c r="AC10" s="12">
        <f>GETPIVOTDATA("[Measures].[IgG_Positivity_Rate]",$AB$4)</f>
        <v>0.53514056224899598</v>
      </c>
      <c r="AD10" s="13">
        <f>GETPIVOTDATA("[Measures].[NS1_Effectiveness]",$AB$4)</f>
        <v>0.97373358348968109</v>
      </c>
      <c r="AE10" s="11">
        <f>GETPIVOTDATA("[Measures].[Confirmed_IgG_Positives]",$AB$4)</f>
        <v>533</v>
      </c>
      <c r="AF10" s="7"/>
      <c r="AG10" s="7"/>
      <c r="AH10" s="7"/>
      <c r="AI10" s="7"/>
      <c r="AJ10" s="7"/>
      <c r="AK10" s="7"/>
      <c r="AM10" s="14" t="s">
        <v>42</v>
      </c>
      <c r="AN10" s="17">
        <v>26</v>
      </c>
      <c r="AO10" s="30">
        <f t="shared" ca="1" si="0"/>
        <v>26</v>
      </c>
      <c r="AP10" t="str">
        <f ca="1"/>
        <v>Chawkbazar</v>
      </c>
      <c r="AQ10">
        <f ca="1"/>
        <v>11</v>
      </c>
      <c r="AS10" t="str">
        <f ca="1"/>
        <v>Shyampur</v>
      </c>
      <c r="AT10">
        <f ca="1"/>
        <v>9</v>
      </c>
      <c r="AZ10" s="14" t="s">
        <v>52</v>
      </c>
      <c r="BA10" s="14" t="s">
        <v>93</v>
      </c>
      <c r="BL10">
        <v>31</v>
      </c>
      <c r="BM10">
        <v>0</v>
      </c>
      <c r="BN10">
        <v>0</v>
      </c>
      <c r="BO10">
        <v>1</v>
      </c>
      <c r="BP10">
        <v>0</v>
      </c>
      <c r="BR10" s="32"/>
      <c r="BS10" s="32"/>
      <c r="BT10" s="32"/>
      <c r="BU10" s="32"/>
      <c r="BV10" s="32"/>
      <c r="BW10" s="32"/>
      <c r="BX10" s="32"/>
      <c r="BY10" s="32"/>
      <c r="BZ10" s="32"/>
      <c r="CA10" s="32"/>
      <c r="CB10" s="32"/>
      <c r="CC10" s="32"/>
      <c r="CD10" s="37" t="s">
        <v>112</v>
      </c>
      <c r="CE10" s="37">
        <v>37</v>
      </c>
    </row>
    <row r="11" spans="1:83" ht="15" thickBot="1" x14ac:dyDescent="0.35">
      <c r="A11" s="14" t="s">
        <v>46</v>
      </c>
      <c r="B11" s="17">
        <v>24</v>
      </c>
      <c r="C11" s="15"/>
      <c r="D11" s="15"/>
      <c r="E11" s="16" t="s">
        <v>11</v>
      </c>
      <c r="F11" s="16" t="s">
        <v>22</v>
      </c>
      <c r="G11" s="16">
        <v>0.17073170731707318</v>
      </c>
      <c r="H11" s="15"/>
      <c r="I11" s="15"/>
      <c r="J11" s="15"/>
      <c r="K11" s="15"/>
      <c r="N11" s="3"/>
      <c r="O11" s="3"/>
      <c r="P11" s="3"/>
      <c r="Q11" s="2"/>
      <c r="R11" s="2"/>
      <c r="S11" s="2"/>
      <c r="T11" s="2"/>
      <c r="U11" s="2"/>
      <c r="V11" s="2"/>
      <c r="W11" s="2"/>
      <c r="X11" s="2"/>
      <c r="Y11" s="2"/>
      <c r="Z11" s="4"/>
      <c r="AA11" s="4"/>
      <c r="AB11" s="11" t="s">
        <v>4</v>
      </c>
      <c r="AC11" s="12">
        <f>GETPIVOTDATA("[Measures].[IgM_Positivity_Rate]",$AB$4)</f>
        <v>0.47489959839357432</v>
      </c>
      <c r="AD11" s="13">
        <f>GETPIVOTDATA("[Measures].[IgM_Effectiveness]",$AB$4)</f>
        <v>0.48592870544090055</v>
      </c>
      <c r="AE11" s="11">
        <f>GETPIVOTDATA("[Measures].[Confirmed_IgM_Positives]",$AB$4)</f>
        <v>259</v>
      </c>
      <c r="AF11" s="7"/>
      <c r="AG11" s="7"/>
      <c r="AH11" s="7"/>
      <c r="AI11" s="7"/>
      <c r="AJ11" s="7"/>
      <c r="AK11" s="7"/>
      <c r="AM11" s="14" t="s">
        <v>20</v>
      </c>
      <c r="AN11" s="17">
        <v>17</v>
      </c>
      <c r="AO11" s="30">
        <f t="shared" ca="1" si="0"/>
        <v>2</v>
      </c>
      <c r="AP11" t="str">
        <f ca="1"/>
        <v>Demra</v>
      </c>
      <c r="AQ11">
        <f ca="1"/>
        <v>26</v>
      </c>
      <c r="AS11" t="str">
        <f ca="1"/>
        <v>Sutrapur</v>
      </c>
      <c r="AT11">
        <f ca="1"/>
        <v>10</v>
      </c>
      <c r="AZ11" s="14" t="s">
        <v>92</v>
      </c>
      <c r="BA11" s="23">
        <v>39</v>
      </c>
      <c r="BL11">
        <v>10</v>
      </c>
      <c r="BM11">
        <v>0</v>
      </c>
      <c r="BN11">
        <v>0</v>
      </c>
      <c r="BO11">
        <v>1</v>
      </c>
      <c r="BP11">
        <v>0</v>
      </c>
      <c r="BR11" s="32"/>
      <c r="BS11" s="32"/>
      <c r="BT11" s="32"/>
      <c r="BU11" s="32"/>
      <c r="BV11" s="32"/>
      <c r="BW11" s="32"/>
      <c r="BX11" s="32"/>
      <c r="BY11" s="32"/>
      <c r="BZ11" s="32"/>
      <c r="CA11" s="32"/>
      <c r="CB11" s="32"/>
      <c r="CC11" s="32"/>
      <c r="CD11" s="37" t="s">
        <v>113</v>
      </c>
      <c r="CE11" s="37">
        <v>45</v>
      </c>
    </row>
    <row r="12" spans="1:83" x14ac:dyDescent="0.3">
      <c r="A12" s="14" t="s">
        <v>37</v>
      </c>
      <c r="B12" s="17">
        <v>24</v>
      </c>
      <c r="C12" s="15"/>
      <c r="D12" s="15"/>
      <c r="E12" s="15"/>
      <c r="F12" s="15"/>
      <c r="G12" s="15"/>
      <c r="H12" s="15"/>
      <c r="I12" s="15"/>
      <c r="J12" s="15"/>
      <c r="K12" s="15"/>
      <c r="N12" s="2"/>
      <c r="O12" s="2"/>
      <c r="P12" s="2"/>
      <c r="Q12" s="2"/>
      <c r="R12" s="2"/>
      <c r="S12" s="2"/>
      <c r="T12" s="2"/>
      <c r="U12" s="2"/>
      <c r="V12" s="2"/>
      <c r="W12" s="2"/>
      <c r="X12" s="2"/>
      <c r="Y12" s="2"/>
      <c r="Z12" s="4"/>
      <c r="AA12" s="4"/>
      <c r="AB12" s="7"/>
      <c r="AC12" s="7"/>
      <c r="AD12" s="7"/>
      <c r="AE12" s="7"/>
      <c r="AF12" s="7"/>
      <c r="AG12" s="7"/>
      <c r="AH12" s="7"/>
      <c r="AI12" s="7"/>
      <c r="AJ12" s="7"/>
      <c r="AK12" s="7"/>
      <c r="AM12" s="14" t="s">
        <v>19</v>
      </c>
      <c r="AN12" s="17">
        <v>9</v>
      </c>
      <c r="AO12" s="30">
        <f t="shared" ca="1" si="0"/>
        <v>8</v>
      </c>
      <c r="AP12" t="str">
        <f ca="1"/>
        <v>Dhanmondi</v>
      </c>
      <c r="AQ12">
        <f ca="1"/>
        <v>17</v>
      </c>
      <c r="AS12" t="str">
        <f ca="1"/>
        <v>Tejgaon</v>
      </c>
      <c r="AT12">
        <f ca="1"/>
        <v>24</v>
      </c>
      <c r="AZ12" s="14" t="s">
        <v>86</v>
      </c>
      <c r="BA12" s="23">
        <v>73</v>
      </c>
      <c r="BL12">
        <v>31</v>
      </c>
      <c r="BM12">
        <v>1</v>
      </c>
      <c r="BN12">
        <v>1</v>
      </c>
      <c r="BO12">
        <v>0</v>
      </c>
      <c r="BP12">
        <v>1</v>
      </c>
      <c r="BR12" s="44" t="s">
        <v>2</v>
      </c>
      <c r="BS12" s="45">
        <f>BT9</f>
        <v>0.97219051669196932</v>
      </c>
      <c r="BT12" s="46" t="s">
        <v>101</v>
      </c>
      <c r="BU12" s="32"/>
      <c r="BV12" s="32"/>
      <c r="BW12" s="32"/>
      <c r="BX12" s="32"/>
      <c r="BY12" s="32"/>
      <c r="BZ12" s="32"/>
      <c r="CA12" s="32"/>
      <c r="CB12" s="32"/>
      <c r="CC12" s="32"/>
      <c r="CD12" s="37" t="s">
        <v>114</v>
      </c>
      <c r="CE12" s="37">
        <v>16.451398071795595</v>
      </c>
    </row>
    <row r="13" spans="1:83" x14ac:dyDescent="0.3">
      <c r="A13" s="14" t="s">
        <v>26</v>
      </c>
      <c r="B13" s="17">
        <v>20</v>
      </c>
      <c r="C13" s="15"/>
      <c r="D13" s="15"/>
      <c r="E13" s="63" t="s">
        <v>63</v>
      </c>
      <c r="F13" s="63"/>
      <c r="G13" s="63"/>
      <c r="H13" s="15"/>
      <c r="I13" s="15"/>
      <c r="J13" s="15"/>
      <c r="K13" s="15"/>
      <c r="N13" s="65" t="s">
        <v>83</v>
      </c>
      <c r="O13" s="65"/>
      <c r="P13" s="66">
        <f>GETPIVOTDATA("[Measures].[Average of Outcome]",$C$1)</f>
        <v>0.53514056224899598</v>
      </c>
      <c r="Q13" s="2"/>
      <c r="R13" s="2"/>
      <c r="S13" s="2"/>
      <c r="T13" s="2"/>
      <c r="U13" s="2"/>
      <c r="V13" s="2"/>
      <c r="W13" s="2"/>
      <c r="X13" s="2"/>
      <c r="Y13" s="2"/>
      <c r="Z13" s="4"/>
      <c r="AA13" s="4"/>
      <c r="AB13" s="7"/>
      <c r="AC13" s="7"/>
      <c r="AD13" s="7"/>
      <c r="AE13" s="7"/>
      <c r="AF13" s="7"/>
      <c r="AG13" s="7"/>
      <c r="AH13" s="7"/>
      <c r="AI13" s="7"/>
      <c r="AJ13" s="7"/>
      <c r="AK13" s="7"/>
      <c r="AM13" s="14" t="s">
        <v>49</v>
      </c>
      <c r="AN13" s="17">
        <v>14</v>
      </c>
      <c r="AO13" s="30">
        <f t="shared" ca="1" si="0"/>
        <v>34</v>
      </c>
      <c r="AP13" t="str">
        <f ca="1"/>
        <v>Gendaria</v>
      </c>
      <c r="AQ13">
        <f ca="1"/>
        <v>9</v>
      </c>
      <c r="AZ13" s="14" t="s">
        <v>87</v>
      </c>
      <c r="BA13" s="23">
        <v>97</v>
      </c>
      <c r="BL13">
        <v>10</v>
      </c>
      <c r="BM13">
        <v>0</v>
      </c>
      <c r="BN13">
        <v>0</v>
      </c>
      <c r="BO13">
        <v>0</v>
      </c>
      <c r="BP13">
        <v>0</v>
      </c>
      <c r="BR13" s="47" t="s">
        <v>3</v>
      </c>
      <c r="BS13" s="48">
        <f>BU9</f>
        <v>1</v>
      </c>
      <c r="BT13" s="49" t="s">
        <v>101</v>
      </c>
      <c r="BU13" s="32"/>
      <c r="BV13" s="32"/>
      <c r="BW13" s="32"/>
      <c r="BX13" s="32"/>
      <c r="BY13" s="32"/>
      <c r="BZ13" s="32"/>
      <c r="CA13" s="32"/>
      <c r="CB13" s="32"/>
      <c r="CC13" s="32"/>
      <c r="CD13" s="37" t="s">
        <v>115</v>
      </c>
      <c r="CE13" s="37">
        <v>270.64849851667981</v>
      </c>
    </row>
    <row r="14" spans="1:83" ht="15" thickBot="1" x14ac:dyDescent="0.35">
      <c r="A14" s="14" t="s">
        <v>10</v>
      </c>
      <c r="B14" s="17">
        <v>19</v>
      </c>
      <c r="C14" s="15"/>
      <c r="D14" s="15"/>
      <c r="E14" s="15" t="str" cm="1">
        <f t="array" ref="E14:G14">_xlfn.XLOOKUP(MAX(G6:G11),G6:G11,E6:G11,,0)</f>
        <v>Undeveloped</v>
      </c>
      <c r="F14" s="15" t="str">
        <v>Building</v>
      </c>
      <c r="G14" s="19">
        <v>0.1801125703564728</v>
      </c>
      <c r="H14" s="15"/>
      <c r="I14" s="15"/>
      <c r="J14" s="15"/>
      <c r="K14" s="15"/>
      <c r="N14" s="65"/>
      <c r="O14" s="65"/>
      <c r="P14" s="66"/>
      <c r="Q14" s="2"/>
      <c r="R14" s="2"/>
      <c r="S14" s="2"/>
      <c r="T14" s="2"/>
      <c r="U14" s="2"/>
      <c r="V14" s="2"/>
      <c r="W14" s="2"/>
      <c r="X14" s="2"/>
      <c r="Y14" s="2"/>
      <c r="Z14" s="4"/>
      <c r="AA14" s="4"/>
      <c r="AB14" s="7"/>
      <c r="AC14" s="7"/>
      <c r="AD14" s="7"/>
      <c r="AE14" s="7"/>
      <c r="AF14" s="7"/>
      <c r="AG14" s="7"/>
      <c r="AH14" s="7"/>
      <c r="AI14" s="7"/>
      <c r="AJ14" s="7"/>
      <c r="AK14" s="7"/>
      <c r="AM14" s="14" t="s">
        <v>39</v>
      </c>
      <c r="AN14" s="17">
        <v>12</v>
      </c>
      <c r="AO14" s="30">
        <f t="shared" ca="1" si="0"/>
        <v>15</v>
      </c>
      <c r="AP14" t="str">
        <f ca="1"/>
        <v>Gulshan</v>
      </c>
      <c r="AQ14">
        <f ca="1"/>
        <v>14</v>
      </c>
      <c r="AZ14" s="14" t="s">
        <v>88</v>
      </c>
      <c r="BA14" s="23">
        <v>281</v>
      </c>
      <c r="BL14">
        <v>13</v>
      </c>
      <c r="BM14">
        <v>1</v>
      </c>
      <c r="BN14">
        <v>1</v>
      </c>
      <c r="BO14">
        <v>0</v>
      </c>
      <c r="BP14">
        <v>1</v>
      </c>
      <c r="BR14" s="50" t="s">
        <v>4</v>
      </c>
      <c r="BS14" s="51">
        <v>0.02</v>
      </c>
      <c r="BT14" s="52" t="s">
        <v>102</v>
      </c>
      <c r="BU14" s="32"/>
      <c r="BV14" s="32"/>
      <c r="BW14" s="32"/>
      <c r="BX14" s="32"/>
      <c r="BY14" s="32"/>
      <c r="BZ14" s="32"/>
      <c r="CA14" s="32"/>
      <c r="CB14" s="32"/>
      <c r="CC14" s="32"/>
      <c r="CD14" s="37" t="s">
        <v>116</v>
      </c>
      <c r="CE14" s="37">
        <v>-1.1503657862171435</v>
      </c>
    </row>
    <row r="15" spans="1:83" x14ac:dyDescent="0.3">
      <c r="A15" s="14" t="s">
        <v>48</v>
      </c>
      <c r="B15" s="17">
        <v>19</v>
      </c>
      <c r="C15" s="15"/>
      <c r="D15" s="15"/>
      <c r="E15" s="15" t="str">
        <f>E14&amp;" "&amp;F14</f>
        <v>Undeveloped Building</v>
      </c>
      <c r="F15" s="15"/>
      <c r="G15" s="19">
        <f>$G$14</f>
        <v>0.1801125703564728</v>
      </c>
      <c r="H15" s="15"/>
      <c r="I15" s="15"/>
      <c r="J15" s="15"/>
      <c r="K15" s="15"/>
      <c r="N15" s="2"/>
      <c r="O15" s="2"/>
      <c r="P15" s="2"/>
      <c r="Q15" s="2"/>
      <c r="R15" s="2"/>
      <c r="S15" s="2"/>
      <c r="T15" s="2"/>
      <c r="U15" s="2"/>
      <c r="V15" s="2"/>
      <c r="W15" s="2"/>
      <c r="X15" s="2"/>
      <c r="Y15" s="2"/>
      <c r="Z15" s="4"/>
      <c r="AA15" s="4"/>
      <c r="AB15" s="7"/>
      <c r="AC15" s="7"/>
      <c r="AD15" s="7"/>
      <c r="AE15" s="7"/>
      <c r="AF15" s="7"/>
      <c r="AG15" s="7"/>
      <c r="AH15" s="7"/>
      <c r="AI15" s="7"/>
      <c r="AJ15" s="7"/>
      <c r="AK15" s="7"/>
      <c r="AM15" s="14" t="s">
        <v>31</v>
      </c>
      <c r="AN15" s="17">
        <v>31</v>
      </c>
      <c r="AO15" s="30">
        <f t="shared" ca="1" si="0"/>
        <v>23</v>
      </c>
      <c r="AP15" t="str">
        <f ca="1"/>
        <v>Hazaribagh</v>
      </c>
      <c r="AQ15">
        <f ca="1"/>
        <v>12</v>
      </c>
      <c r="AZ15" s="14" t="s">
        <v>89</v>
      </c>
      <c r="BA15" s="23">
        <v>43</v>
      </c>
      <c r="BL15">
        <v>43</v>
      </c>
      <c r="BM15">
        <v>1</v>
      </c>
      <c r="BN15">
        <v>1</v>
      </c>
      <c r="BO15">
        <v>0</v>
      </c>
      <c r="BP15">
        <v>1</v>
      </c>
      <c r="BR15" s="32" t="s">
        <v>99</v>
      </c>
      <c r="BS15" s="32"/>
      <c r="BT15" s="32"/>
      <c r="BU15" s="32"/>
      <c r="BV15" s="32"/>
      <c r="BW15" s="32"/>
      <c r="BX15" s="32"/>
      <c r="BY15" s="32"/>
      <c r="BZ15" s="32"/>
      <c r="CA15" s="32"/>
      <c r="CB15" s="32"/>
      <c r="CC15" s="32"/>
      <c r="CD15" s="37" t="s">
        <v>117</v>
      </c>
      <c r="CE15" s="37">
        <v>7.7189762131461425E-4</v>
      </c>
    </row>
    <row r="16" spans="1:83" x14ac:dyDescent="0.3">
      <c r="A16" s="14" t="s">
        <v>36</v>
      </c>
      <c r="B16" s="17">
        <v>17</v>
      </c>
      <c r="C16" s="15"/>
      <c r="D16" s="15"/>
      <c r="E16" s="15"/>
      <c r="F16" s="15"/>
      <c r="G16" s="15"/>
      <c r="H16" s="15"/>
      <c r="I16" s="15"/>
      <c r="J16" s="15"/>
      <c r="K16" s="15"/>
      <c r="N16" s="65" t="s">
        <v>65</v>
      </c>
      <c r="O16" s="65"/>
      <c r="P16" s="65" t="str">
        <f ca="1">A33</f>
        <v>Jatrabari</v>
      </c>
      <c r="Q16" s="67">
        <f ca="1">B33</f>
        <v>5.8161350844277676E-2</v>
      </c>
      <c r="R16" s="2"/>
      <c r="S16" s="2"/>
      <c r="T16" s="2"/>
      <c r="U16" s="2"/>
      <c r="V16" s="2"/>
      <c r="W16" s="2"/>
      <c r="X16" s="2"/>
      <c r="Y16" s="2"/>
      <c r="Z16" s="4"/>
      <c r="AA16" s="4"/>
      <c r="AB16" s="7"/>
      <c r="AC16" s="7"/>
      <c r="AD16" s="7"/>
      <c r="AE16" s="7"/>
      <c r="AF16" s="7"/>
      <c r="AG16" s="7"/>
      <c r="AH16" s="7"/>
      <c r="AI16" s="7"/>
      <c r="AJ16" s="7"/>
      <c r="AK16" s="7"/>
      <c r="AM16" s="14" t="s">
        <v>48</v>
      </c>
      <c r="AN16" s="17">
        <v>19</v>
      </c>
      <c r="AO16" s="30">
        <f t="shared" ca="1" si="0"/>
        <v>1</v>
      </c>
      <c r="AP16" t="str">
        <f ca="1"/>
        <v>Jatrabari</v>
      </c>
      <c r="AQ16">
        <f ca="1"/>
        <v>31</v>
      </c>
      <c r="AZ16" s="24"/>
      <c r="BA16" s="24"/>
      <c r="BL16">
        <v>52</v>
      </c>
      <c r="BM16">
        <v>0</v>
      </c>
      <c r="BN16">
        <v>0</v>
      </c>
      <c r="BO16">
        <v>0</v>
      </c>
      <c r="BP16">
        <v>0</v>
      </c>
      <c r="BR16" s="32" t="s">
        <v>100</v>
      </c>
      <c r="BS16" s="32"/>
      <c r="BT16" s="32"/>
      <c r="BU16" s="32"/>
      <c r="BV16" s="32"/>
      <c r="BW16" s="32"/>
      <c r="BX16" s="32"/>
      <c r="BY16" s="32"/>
      <c r="BZ16" s="32"/>
      <c r="CA16" s="32"/>
      <c r="CB16" s="32"/>
      <c r="CC16" s="32"/>
      <c r="CD16" s="37" t="s">
        <v>118</v>
      </c>
      <c r="CE16" s="37">
        <v>57</v>
      </c>
    </row>
    <row r="17" spans="1:83" x14ac:dyDescent="0.3">
      <c r="A17" s="14" t="s">
        <v>24</v>
      </c>
      <c r="B17" s="17">
        <v>17</v>
      </c>
      <c r="C17" s="15"/>
      <c r="D17" s="15"/>
      <c r="E17" s="15"/>
      <c r="F17" s="15"/>
      <c r="G17" s="15"/>
      <c r="H17" s="15"/>
      <c r="I17" s="15"/>
      <c r="J17" s="15"/>
      <c r="K17" s="15"/>
      <c r="N17" s="65"/>
      <c r="O17" s="65"/>
      <c r="P17" s="65"/>
      <c r="Q17" s="65"/>
      <c r="R17" s="2"/>
      <c r="S17" s="2"/>
      <c r="T17" s="2"/>
      <c r="U17" s="2"/>
      <c r="V17" s="2"/>
      <c r="W17" s="2"/>
      <c r="X17" s="2"/>
      <c r="Y17" s="2"/>
      <c r="Z17" s="4"/>
      <c r="AA17" s="4"/>
      <c r="AB17" s="7"/>
      <c r="AC17" s="7"/>
      <c r="AD17" s="7"/>
      <c r="AE17" s="7"/>
      <c r="AF17" s="7"/>
      <c r="AG17" s="7"/>
      <c r="AH17" s="7"/>
      <c r="AI17" s="7"/>
      <c r="AJ17" s="7"/>
      <c r="AK17" s="7"/>
      <c r="AM17" s="14" t="s">
        <v>24</v>
      </c>
      <c r="AN17" s="17">
        <v>17</v>
      </c>
      <c r="AO17" s="30">
        <f t="shared" ca="1" si="0"/>
        <v>6</v>
      </c>
      <c r="AP17" t="str">
        <f ca="1"/>
        <v>Kadamtali</v>
      </c>
      <c r="AQ17">
        <f ca="1"/>
        <v>19</v>
      </c>
      <c r="AZ17" s="14" t="s">
        <v>54</v>
      </c>
      <c r="BA17" s="14" t="s">
        <v>97</v>
      </c>
      <c r="BL17">
        <v>12</v>
      </c>
      <c r="BM17">
        <v>1</v>
      </c>
      <c r="BN17">
        <v>1</v>
      </c>
      <c r="BO17">
        <v>1</v>
      </c>
      <c r="BP17">
        <v>1</v>
      </c>
      <c r="BR17" s="32"/>
      <c r="BS17" s="32"/>
      <c r="BT17" s="32"/>
      <c r="BU17" s="32"/>
      <c r="BV17" s="32"/>
      <c r="BW17" s="32"/>
      <c r="BX17" s="32"/>
      <c r="BY17" s="32"/>
      <c r="BZ17" s="32"/>
      <c r="CA17" s="32"/>
      <c r="CB17" s="32"/>
      <c r="CC17" s="32"/>
      <c r="CD17" s="37" t="s">
        <v>119</v>
      </c>
      <c r="CE17" s="37">
        <v>8</v>
      </c>
    </row>
    <row r="18" spans="1:83" x14ac:dyDescent="0.3">
      <c r="A18" s="14" t="s">
        <v>20</v>
      </c>
      <c r="B18" s="17">
        <v>17</v>
      </c>
      <c r="C18" s="15"/>
      <c r="D18" s="15"/>
      <c r="E18" s="16" t="s">
        <v>0</v>
      </c>
      <c r="F18" s="16" t="s">
        <v>52</v>
      </c>
      <c r="G18" s="16" t="s">
        <v>82</v>
      </c>
      <c r="H18" s="15"/>
      <c r="I18" s="15"/>
      <c r="J18" s="15"/>
      <c r="K18" s="15"/>
      <c r="N18" s="2"/>
      <c r="O18" s="2"/>
      <c r="P18" s="2"/>
      <c r="Q18" s="2"/>
      <c r="R18" s="2"/>
      <c r="S18" s="2"/>
      <c r="T18" s="2"/>
      <c r="U18" s="2"/>
      <c r="V18" s="2"/>
      <c r="W18" s="2"/>
      <c r="X18" s="2"/>
      <c r="Y18" s="2"/>
      <c r="Z18" s="4"/>
      <c r="AA18" s="4"/>
      <c r="AB18" s="7"/>
      <c r="AC18" s="7"/>
      <c r="AD18" s="7"/>
      <c r="AE18" s="7"/>
      <c r="AF18" s="7"/>
      <c r="AG18" s="7"/>
      <c r="AH18" s="7"/>
      <c r="AI18" s="7"/>
      <c r="AJ18" s="7"/>
      <c r="AK18" s="7"/>
      <c r="AM18" s="14" t="s">
        <v>29</v>
      </c>
      <c r="AN18" s="17">
        <v>15</v>
      </c>
      <c r="AO18" s="30">
        <f t="shared" ca="1" si="0"/>
        <v>8</v>
      </c>
      <c r="AP18" t="str">
        <f ca="1"/>
        <v>Kafrul</v>
      </c>
      <c r="AQ18">
        <f ca="1"/>
        <v>17</v>
      </c>
      <c r="AZ18" s="14" t="str" cm="1">
        <f t="array" ref="AZ18:BA18">_xlfn.XLOOKUP(MAX(BA11:BA15),BA11:BA15,AZ11:BA15,,0)</f>
        <v>31-60</v>
      </c>
      <c r="BA18" s="23">
        <v>281</v>
      </c>
      <c r="BL18">
        <v>18</v>
      </c>
      <c r="BM18">
        <v>0</v>
      </c>
      <c r="BN18">
        <v>0</v>
      </c>
      <c r="BO18">
        <v>1</v>
      </c>
      <c r="BP18">
        <v>0</v>
      </c>
      <c r="BR18" s="32"/>
      <c r="BS18" s="32"/>
      <c r="BT18" s="32"/>
      <c r="BU18" s="32"/>
      <c r="BV18" s="32"/>
      <c r="BW18" s="32"/>
      <c r="BX18" s="32"/>
      <c r="BY18" s="32"/>
      <c r="BZ18" s="32"/>
      <c r="CA18" s="32"/>
      <c r="CB18" s="32"/>
      <c r="CC18" s="32"/>
      <c r="CD18" s="37" t="s">
        <v>120</v>
      </c>
      <c r="CE18" s="37">
        <v>65</v>
      </c>
    </row>
    <row r="19" spans="1:83" x14ac:dyDescent="0.3">
      <c r="C19" s="15"/>
      <c r="D19" s="15"/>
      <c r="E19" s="16" t="s">
        <v>9</v>
      </c>
      <c r="F19" s="16" t="s">
        <v>92</v>
      </c>
      <c r="G19" s="16">
        <v>4.3151969981238276E-2</v>
      </c>
      <c r="H19" s="15"/>
      <c r="I19" s="15"/>
      <c r="J19" s="15"/>
      <c r="K19" s="15"/>
      <c r="N19" s="65" t="s">
        <v>54</v>
      </c>
      <c r="O19" s="65"/>
      <c r="P19" s="65" t="str">
        <f>A49</f>
        <v>31-60</v>
      </c>
      <c r="Q19" s="67">
        <f>B49</f>
        <v>0.5272045028142589</v>
      </c>
      <c r="R19" s="2"/>
      <c r="S19" s="2"/>
      <c r="T19" s="2"/>
      <c r="U19" s="2"/>
      <c r="V19" s="2"/>
      <c r="W19" s="2"/>
      <c r="X19" s="2"/>
      <c r="Y19" s="2"/>
      <c r="Z19" s="4"/>
      <c r="AA19" s="4"/>
      <c r="AB19" s="7"/>
      <c r="AC19" s="7"/>
      <c r="AD19" s="7"/>
      <c r="AE19" s="7"/>
      <c r="AF19" s="7"/>
      <c r="AG19" s="7"/>
      <c r="AH19" s="7"/>
      <c r="AI19" s="7"/>
      <c r="AJ19" s="7"/>
      <c r="AK19" s="7"/>
      <c r="AM19" s="14" t="s">
        <v>33</v>
      </c>
      <c r="AN19" s="17">
        <v>10</v>
      </c>
      <c r="AO19" s="30">
        <f t="shared" ca="1" si="0"/>
        <v>12</v>
      </c>
      <c r="AP19" t="str">
        <f ca="1"/>
        <v>Kalabagan</v>
      </c>
      <c r="AQ19">
        <f ca="1"/>
        <v>15</v>
      </c>
      <c r="AZ19" s="15"/>
      <c r="BA19" s="15"/>
      <c r="BL19">
        <v>56</v>
      </c>
      <c r="BM19">
        <v>0</v>
      </c>
      <c r="BN19">
        <v>0</v>
      </c>
      <c r="BO19">
        <v>1</v>
      </c>
      <c r="BP19">
        <v>0</v>
      </c>
      <c r="BR19" s="32"/>
      <c r="BS19" s="32"/>
      <c r="BT19" s="32"/>
      <c r="BU19" s="32"/>
      <c r="BV19" s="32"/>
      <c r="BW19" s="32"/>
      <c r="BX19" s="32"/>
      <c r="BY19" s="32"/>
      <c r="BZ19" s="32"/>
      <c r="CA19" s="32"/>
      <c r="CB19" s="32"/>
      <c r="CC19" s="32"/>
      <c r="CD19" s="37" t="s">
        <v>121</v>
      </c>
      <c r="CE19" s="37">
        <v>35739</v>
      </c>
    </row>
    <row r="20" spans="1:83" ht="15" thickBot="1" x14ac:dyDescent="0.35">
      <c r="A20" s="15"/>
      <c r="B20" s="15"/>
      <c r="C20" s="15"/>
      <c r="D20" s="15"/>
      <c r="E20" s="16" t="s">
        <v>9</v>
      </c>
      <c r="F20" s="16" t="s">
        <v>86</v>
      </c>
      <c r="G20" s="16">
        <v>8.6303939962476553E-2</v>
      </c>
      <c r="H20" s="15"/>
      <c r="I20" s="15"/>
      <c r="J20" s="15"/>
      <c r="K20" s="15"/>
      <c r="N20" s="65"/>
      <c r="O20" s="65"/>
      <c r="P20" s="65"/>
      <c r="Q20" s="65"/>
      <c r="R20" s="2"/>
      <c r="S20" s="2"/>
      <c r="T20" s="2"/>
      <c r="U20" s="2"/>
      <c r="V20" s="2"/>
      <c r="W20" s="2"/>
      <c r="X20" s="2"/>
      <c r="Y20" s="2"/>
      <c r="Z20" s="4"/>
      <c r="AA20" s="4"/>
      <c r="AB20" s="7"/>
      <c r="AC20" s="7"/>
      <c r="AD20" s="7"/>
      <c r="AE20" s="7"/>
      <c r="AF20" s="7" t="s">
        <v>90</v>
      </c>
      <c r="AG20" s="7" t="str">
        <f>_xlfn.XLOOKUP(MAX(TestsT[Effectiveness]),TestsT[Effectiveness],TestsT[Tests],,0)</f>
        <v>NS1</v>
      </c>
      <c r="AH20" s="7" t="str">
        <f>_xlfn.XLOOKUP(MAX(TestsT[Positivity Rate]),TestsT[Positivity Rate],TestsT[Tests],,0)</f>
        <v>IgG</v>
      </c>
      <c r="AI20" s="7"/>
      <c r="AJ20" s="7"/>
      <c r="AK20" s="7"/>
      <c r="AM20" s="14" t="s">
        <v>45</v>
      </c>
      <c r="AN20" s="17">
        <v>14</v>
      </c>
      <c r="AO20" s="30">
        <f t="shared" ca="1" si="0"/>
        <v>29</v>
      </c>
      <c r="AP20" t="str">
        <f ca="1"/>
        <v>Kamrangirchar</v>
      </c>
      <c r="AQ20">
        <f ca="1"/>
        <v>10</v>
      </c>
      <c r="BL20">
        <v>9</v>
      </c>
      <c r="BM20">
        <v>1</v>
      </c>
      <c r="BN20">
        <v>1</v>
      </c>
      <c r="BO20">
        <v>1</v>
      </c>
      <c r="BP20">
        <v>1</v>
      </c>
      <c r="BR20" s="32"/>
      <c r="BS20" s="32"/>
      <c r="BT20" s="32"/>
      <c r="BU20" s="32"/>
      <c r="BV20" s="32"/>
      <c r="BW20" s="32"/>
      <c r="BX20" s="32"/>
      <c r="BY20" s="32"/>
      <c r="BZ20" s="32"/>
      <c r="CA20" s="32"/>
      <c r="CB20" s="32"/>
      <c r="CC20" s="32"/>
      <c r="CD20" s="53" t="s">
        <v>122</v>
      </c>
      <c r="CE20" s="53">
        <v>996</v>
      </c>
    </row>
    <row r="21" spans="1:83" x14ac:dyDescent="0.3">
      <c r="A21" s="15"/>
      <c r="B21" s="15" t="str" cm="1">
        <f t="array" aca="1" ref="B21:C31" ca="1">OFFSET(A8:B18,0,0)</f>
        <v>Area</v>
      </c>
      <c r="C21" s="15" t="str">
        <f ca="1"/>
        <v>Total Dengue Positive</v>
      </c>
      <c r="D21" s="15"/>
      <c r="E21" s="16" t="s">
        <v>9</v>
      </c>
      <c r="F21" s="16" t="s">
        <v>87</v>
      </c>
      <c r="G21" s="16">
        <v>9.3808630393996242E-2</v>
      </c>
      <c r="H21" s="15"/>
      <c r="I21" s="15"/>
      <c r="J21" s="15"/>
      <c r="K21" s="15"/>
      <c r="N21" s="2"/>
      <c r="O21" s="2"/>
      <c r="P21" s="2"/>
      <c r="Q21" s="2"/>
      <c r="R21" s="2"/>
      <c r="S21" s="2"/>
      <c r="T21" s="2"/>
      <c r="U21" s="2"/>
      <c r="V21" s="2"/>
      <c r="W21" s="2"/>
      <c r="X21" s="2"/>
      <c r="Y21" s="2"/>
      <c r="Z21" s="4"/>
      <c r="AA21" s="4"/>
      <c r="AB21" s="7"/>
      <c r="AC21" s="7"/>
      <c r="AD21" s="7"/>
      <c r="AE21" s="7"/>
      <c r="AF21" s="7" t="s">
        <v>91</v>
      </c>
      <c r="AG21" s="7" t="str">
        <f>AG20&amp;" and "&amp;AH20</f>
        <v>NS1 and IgG</v>
      </c>
      <c r="AH21" s="7"/>
      <c r="AI21" s="7"/>
      <c r="AJ21" s="7"/>
      <c r="AK21" s="7"/>
      <c r="AM21" s="14" t="s">
        <v>51</v>
      </c>
      <c r="AN21" s="17">
        <v>14</v>
      </c>
      <c r="AO21" s="30">
        <f t="shared" ca="1" si="0"/>
        <v>15</v>
      </c>
      <c r="AP21" t="str">
        <f ca="1"/>
        <v>Keraniganj</v>
      </c>
      <c r="AQ21">
        <f ca="1"/>
        <v>14</v>
      </c>
      <c r="BL21">
        <v>27</v>
      </c>
      <c r="BM21">
        <v>1</v>
      </c>
      <c r="BN21">
        <v>1</v>
      </c>
      <c r="BO21">
        <v>0</v>
      </c>
      <c r="BP21">
        <v>1</v>
      </c>
      <c r="BR21" s="54" t="s">
        <v>2</v>
      </c>
      <c r="BS21" s="54" t="s">
        <v>3</v>
      </c>
      <c r="BT21" s="54" t="s">
        <v>4</v>
      </c>
      <c r="BU21" s="54" t="s">
        <v>61</v>
      </c>
      <c r="BV21" s="32"/>
      <c r="BW21" s="32"/>
      <c r="BX21" s="32"/>
      <c r="BY21" s="32"/>
      <c r="BZ21" s="32"/>
      <c r="CA21" s="32"/>
      <c r="CB21" s="32"/>
      <c r="CC21" s="32"/>
      <c r="CD21" s="32"/>
      <c r="CE21" s="32"/>
    </row>
    <row r="22" spans="1:83" x14ac:dyDescent="0.3">
      <c r="A22" s="15">
        <f t="shared" ref="A22:A31" ca="1" si="1">RANK(C22,$C$22:$C$31)</f>
        <v>1</v>
      </c>
      <c r="B22" s="15" t="str">
        <f ca="1"/>
        <v>Jatrabari</v>
      </c>
      <c r="C22" s="15">
        <f ca="1"/>
        <v>31</v>
      </c>
      <c r="D22" s="15"/>
      <c r="E22" s="16" t="s">
        <v>9</v>
      </c>
      <c r="F22" s="16" t="s">
        <v>88</v>
      </c>
      <c r="G22" s="16">
        <v>0.27016885553470921</v>
      </c>
      <c r="H22" s="15"/>
      <c r="I22" s="15"/>
      <c r="J22" s="18"/>
      <c r="K22" s="15"/>
      <c r="N22" s="65" t="s">
        <v>59</v>
      </c>
      <c r="O22" s="65"/>
      <c r="P22" s="65" t="str">
        <f>B39</f>
        <v>Building</v>
      </c>
      <c r="Q22" s="67">
        <f>C39</f>
        <v>0.35834896810506567</v>
      </c>
      <c r="R22" s="2"/>
      <c r="S22" s="2"/>
      <c r="T22" s="2"/>
      <c r="U22" s="2"/>
      <c r="V22" s="2"/>
      <c r="W22" s="2"/>
      <c r="X22" s="2"/>
      <c r="Y22" s="2"/>
      <c r="Z22" s="4"/>
      <c r="AA22" s="4"/>
      <c r="AB22" s="7"/>
      <c r="AC22" s="7"/>
      <c r="AD22" s="7"/>
      <c r="AE22" s="7"/>
      <c r="AF22" s="7"/>
      <c r="AG22" s="7"/>
      <c r="AH22" s="7"/>
      <c r="AI22" s="7"/>
      <c r="AJ22" s="7"/>
      <c r="AK22" s="7"/>
      <c r="AM22" s="14" t="s">
        <v>47</v>
      </c>
      <c r="AN22" s="17">
        <v>16</v>
      </c>
      <c r="AO22" s="30">
        <f t="shared" ca="1" si="0"/>
        <v>15</v>
      </c>
      <c r="AP22" t="str">
        <f ca="1"/>
        <v>Khilgaon</v>
      </c>
      <c r="AQ22">
        <f ca="1"/>
        <v>14</v>
      </c>
      <c r="AZ22" s="14" t="s">
        <v>6</v>
      </c>
      <c r="BA22" s="14" t="s">
        <v>61</v>
      </c>
      <c r="BL22">
        <v>31</v>
      </c>
      <c r="BM22">
        <v>0</v>
      </c>
      <c r="BN22">
        <v>1</v>
      </c>
      <c r="BO22">
        <v>0</v>
      </c>
      <c r="BP22">
        <v>1</v>
      </c>
      <c r="BR22" s="54">
        <v>0</v>
      </c>
      <c r="BS22" s="54">
        <v>0</v>
      </c>
      <c r="BT22" s="54">
        <v>0</v>
      </c>
      <c r="BU22" s="55">
        <v>0</v>
      </c>
      <c r="BV22" s="32"/>
      <c r="BW22" s="32"/>
      <c r="BX22" s="32"/>
      <c r="BY22" s="32"/>
      <c r="BZ22" s="32"/>
      <c r="CA22" s="32"/>
      <c r="CB22" s="32"/>
      <c r="CC22" s="32"/>
      <c r="CD22" s="32"/>
      <c r="CE22" s="32"/>
    </row>
    <row r="23" spans="1:83" x14ac:dyDescent="0.3">
      <c r="A23" s="15">
        <f t="shared" ca="1" si="1"/>
        <v>2</v>
      </c>
      <c r="B23" s="15" t="str">
        <f ca="1"/>
        <v>Demra</v>
      </c>
      <c r="C23" s="15">
        <f ca="1"/>
        <v>26</v>
      </c>
      <c r="D23" s="15"/>
      <c r="E23" s="16" t="s">
        <v>9</v>
      </c>
      <c r="F23" s="16" t="s">
        <v>89</v>
      </c>
      <c r="G23" s="16">
        <v>3.3771106941838651E-2</v>
      </c>
      <c r="H23" s="15"/>
      <c r="I23" s="15"/>
      <c r="J23" s="18"/>
      <c r="K23" s="15"/>
      <c r="N23" s="65"/>
      <c r="O23" s="65"/>
      <c r="P23" s="65"/>
      <c r="Q23" s="65"/>
      <c r="R23" s="2"/>
      <c r="S23" s="2"/>
      <c r="T23" s="2"/>
      <c r="U23" s="2"/>
      <c r="V23" s="2"/>
      <c r="W23" s="2"/>
      <c r="X23" s="2"/>
      <c r="Y23" s="2"/>
      <c r="Z23" s="4"/>
      <c r="AA23" s="4"/>
      <c r="AB23" s="7"/>
      <c r="AC23" s="7"/>
      <c r="AD23" s="7"/>
      <c r="AE23" s="7"/>
      <c r="AF23" s="7"/>
      <c r="AG23" s="7"/>
      <c r="AH23" s="7"/>
      <c r="AI23" s="7"/>
      <c r="AJ23" s="7"/>
      <c r="AK23" s="7"/>
      <c r="AM23" s="14" t="s">
        <v>41</v>
      </c>
      <c r="AN23" s="17">
        <v>10</v>
      </c>
      <c r="AO23" s="30">
        <f t="shared" ca="1" si="0"/>
        <v>11</v>
      </c>
      <c r="AP23" t="str">
        <f ca="1"/>
        <v>Khilkhet</v>
      </c>
      <c r="AQ23">
        <f ca="1"/>
        <v>16</v>
      </c>
      <c r="AZ23" s="14" t="s">
        <v>15</v>
      </c>
      <c r="BA23" s="17">
        <v>257</v>
      </c>
      <c r="BL23">
        <v>23</v>
      </c>
      <c r="BM23">
        <v>0</v>
      </c>
      <c r="BN23">
        <v>0</v>
      </c>
      <c r="BO23">
        <v>0</v>
      </c>
      <c r="BP23">
        <v>0</v>
      </c>
      <c r="BR23" s="54">
        <v>0</v>
      </c>
      <c r="BS23" s="54">
        <v>0</v>
      </c>
      <c r="BT23" s="54">
        <v>1</v>
      </c>
      <c r="BU23" s="55">
        <v>0</v>
      </c>
      <c r="BV23" s="32"/>
      <c r="BW23" s="32"/>
      <c r="BX23" s="32"/>
      <c r="BY23" s="32"/>
      <c r="BZ23" s="32"/>
      <c r="CA23" s="32"/>
      <c r="CB23" s="32"/>
      <c r="CC23" s="32"/>
      <c r="CD23" s="32"/>
      <c r="CE23" s="32"/>
    </row>
    <row r="24" spans="1:83" x14ac:dyDescent="0.3">
      <c r="A24" s="15">
        <f t="shared" ca="1" si="1"/>
        <v>3</v>
      </c>
      <c r="B24" s="15" t="str">
        <f ca="1"/>
        <v>Tejgaon</v>
      </c>
      <c r="C24" s="15">
        <f ca="1"/>
        <v>24</v>
      </c>
      <c r="D24" s="15"/>
      <c r="E24" s="16" t="s">
        <v>13</v>
      </c>
      <c r="F24" s="16" t="s">
        <v>92</v>
      </c>
      <c r="G24" s="16">
        <v>3.0018761726078799E-2</v>
      </c>
      <c r="H24" s="15"/>
      <c r="I24" s="15"/>
      <c r="J24" s="18"/>
      <c r="K24" s="15"/>
      <c r="N24" s="2"/>
      <c r="O24" s="2"/>
      <c r="P24" s="2"/>
      <c r="Q24" s="2"/>
      <c r="R24" s="2"/>
      <c r="S24" s="2"/>
      <c r="T24" s="2"/>
      <c r="U24" s="2"/>
      <c r="V24" s="2"/>
      <c r="W24" s="2"/>
      <c r="X24" s="2"/>
      <c r="Y24" s="2"/>
      <c r="Z24" s="4"/>
      <c r="AA24" s="4"/>
      <c r="AB24" s="7"/>
      <c r="AC24" s="7"/>
      <c r="AD24" s="7"/>
      <c r="AE24" s="7"/>
      <c r="AF24" s="7"/>
      <c r="AG24" s="7"/>
      <c r="AH24" s="7"/>
      <c r="AI24" s="7"/>
      <c r="AJ24" s="7"/>
      <c r="AK24" s="7"/>
      <c r="AM24" s="14" t="s">
        <v>10</v>
      </c>
      <c r="AN24" s="17">
        <v>19</v>
      </c>
      <c r="AO24" s="30">
        <f t="shared" ca="1" si="0"/>
        <v>29</v>
      </c>
      <c r="AP24" t="str">
        <f ca="1"/>
        <v>Lalbagh</v>
      </c>
      <c r="AQ24">
        <f ca="1"/>
        <v>10</v>
      </c>
      <c r="AZ24" s="14" t="s">
        <v>11</v>
      </c>
      <c r="BA24" s="17">
        <v>276</v>
      </c>
      <c r="BL24">
        <v>37</v>
      </c>
      <c r="BM24">
        <v>0</v>
      </c>
      <c r="BN24">
        <v>0</v>
      </c>
      <c r="BO24">
        <v>1</v>
      </c>
      <c r="BP24">
        <v>0</v>
      </c>
      <c r="BR24" s="54">
        <v>0</v>
      </c>
      <c r="BS24" s="54">
        <v>1</v>
      </c>
      <c r="BT24" s="54">
        <v>0</v>
      </c>
      <c r="BU24" s="55">
        <v>13</v>
      </c>
      <c r="BV24" s="32"/>
      <c r="BW24" s="32"/>
      <c r="BX24" s="32"/>
      <c r="BY24" s="32"/>
      <c r="BZ24" s="32"/>
      <c r="CA24" s="32"/>
      <c r="CB24" s="32"/>
      <c r="CC24" s="32"/>
      <c r="CD24" s="32"/>
      <c r="CE24" s="32"/>
    </row>
    <row r="25" spans="1:83" x14ac:dyDescent="0.3">
      <c r="A25" s="15">
        <f t="shared" ca="1" si="1"/>
        <v>3</v>
      </c>
      <c r="B25" s="15" t="str">
        <f ca="1"/>
        <v>Bangshal</v>
      </c>
      <c r="C25" s="15">
        <f ca="1"/>
        <v>24</v>
      </c>
      <c r="D25" s="15"/>
      <c r="E25" s="16" t="s">
        <v>13</v>
      </c>
      <c r="F25" s="16" t="s">
        <v>86</v>
      </c>
      <c r="G25" s="16">
        <v>5.0656660412757973E-2</v>
      </c>
      <c r="H25" s="15"/>
      <c r="I25" s="15"/>
      <c r="J25" s="18"/>
      <c r="K25" s="15"/>
      <c r="N25" s="65"/>
      <c r="O25" s="65"/>
      <c r="P25" s="65"/>
      <c r="Q25" s="67"/>
      <c r="R25" s="2"/>
      <c r="S25" s="2"/>
      <c r="T25" s="2"/>
      <c r="U25" s="2"/>
      <c r="V25" s="2"/>
      <c r="W25" s="2"/>
      <c r="X25" s="2"/>
      <c r="Y25" s="2"/>
      <c r="Z25" s="4"/>
      <c r="AA25" s="4"/>
      <c r="AB25" s="7"/>
      <c r="AC25" s="7"/>
      <c r="AD25" s="7"/>
      <c r="AE25" s="7"/>
      <c r="AF25" s="7"/>
      <c r="AG25" s="7"/>
      <c r="AH25" s="7"/>
      <c r="AI25" s="7"/>
      <c r="AJ25" s="7"/>
      <c r="AK25" s="7"/>
      <c r="AM25" s="14" t="s">
        <v>26</v>
      </c>
      <c r="AN25" s="17">
        <v>20</v>
      </c>
      <c r="AO25" s="30">
        <f t="shared" ca="1" si="0"/>
        <v>6</v>
      </c>
      <c r="AP25" t="str">
        <f ca="1"/>
        <v>Mirpur</v>
      </c>
      <c r="AQ25">
        <f ca="1"/>
        <v>19</v>
      </c>
      <c r="BL25">
        <v>44</v>
      </c>
      <c r="BM25">
        <v>0</v>
      </c>
      <c r="BN25">
        <v>0</v>
      </c>
      <c r="BO25">
        <v>1</v>
      </c>
      <c r="BP25">
        <v>0</v>
      </c>
      <c r="BR25" s="54">
        <v>0</v>
      </c>
      <c r="BS25" s="54">
        <v>1</v>
      </c>
      <c r="BT25" s="54">
        <v>1</v>
      </c>
      <c r="BU25" s="55">
        <v>1</v>
      </c>
      <c r="BV25" s="32"/>
      <c r="BW25" s="32"/>
      <c r="BX25" s="32"/>
      <c r="BY25" s="32"/>
      <c r="BZ25" s="32"/>
      <c r="CA25" s="32"/>
      <c r="CB25" s="32"/>
      <c r="CC25" s="32"/>
      <c r="CD25" s="32"/>
      <c r="CE25" s="32"/>
    </row>
    <row r="26" spans="1:83" x14ac:dyDescent="0.3">
      <c r="A26" s="15">
        <f t="shared" ca="1" si="1"/>
        <v>5</v>
      </c>
      <c r="B26" s="15" t="str">
        <f ca="1"/>
        <v>Mohammadpur</v>
      </c>
      <c r="C26" s="15">
        <f ca="1"/>
        <v>20</v>
      </c>
      <c r="D26" s="15"/>
      <c r="E26" s="16" t="s">
        <v>13</v>
      </c>
      <c r="F26" s="16" t="s">
        <v>87</v>
      </c>
      <c r="G26" s="16">
        <v>8.8180112570356475E-2</v>
      </c>
      <c r="H26" s="15"/>
      <c r="I26" s="15"/>
      <c r="J26" s="18"/>
      <c r="K26" s="15"/>
      <c r="N26" s="65"/>
      <c r="O26" s="65"/>
      <c r="P26" s="65"/>
      <c r="Q26" s="65"/>
      <c r="R26" s="2"/>
      <c r="S26" s="2"/>
      <c r="T26" s="2"/>
      <c r="U26" s="2"/>
      <c r="V26" s="2"/>
      <c r="W26" s="2"/>
      <c r="X26" s="2"/>
      <c r="Y26" s="2"/>
      <c r="Z26" s="4"/>
      <c r="AA26" s="4"/>
      <c r="AB26" s="7"/>
      <c r="AC26" s="7"/>
      <c r="AD26" s="7"/>
      <c r="AE26" s="7"/>
      <c r="AF26" s="7"/>
      <c r="AG26" s="7"/>
      <c r="AH26" s="7"/>
      <c r="AI26" s="7"/>
      <c r="AJ26" s="7"/>
      <c r="AK26" s="7"/>
      <c r="AM26" s="14" t="s">
        <v>18</v>
      </c>
      <c r="AN26" s="17">
        <v>15</v>
      </c>
      <c r="AO26" s="30">
        <f t="shared" ca="1" si="0"/>
        <v>5</v>
      </c>
      <c r="AP26" t="str">
        <f ca="1"/>
        <v>Mohammadpur</v>
      </c>
      <c r="AQ26">
        <f ca="1"/>
        <v>20</v>
      </c>
      <c r="BL26">
        <v>17</v>
      </c>
      <c r="BM26">
        <v>1</v>
      </c>
      <c r="BN26">
        <v>1</v>
      </c>
      <c r="BO26">
        <v>0</v>
      </c>
      <c r="BP26">
        <v>1</v>
      </c>
      <c r="BR26" s="54">
        <v>1</v>
      </c>
      <c r="BS26" s="54">
        <v>1</v>
      </c>
      <c r="BT26" s="54">
        <v>0</v>
      </c>
      <c r="BU26" s="55">
        <v>261</v>
      </c>
      <c r="BV26" s="32"/>
      <c r="BW26" s="32"/>
      <c r="BX26" s="32"/>
      <c r="BY26" s="32"/>
      <c r="BZ26" s="32"/>
      <c r="CA26" s="32"/>
      <c r="CB26" s="32"/>
      <c r="CC26" s="32"/>
      <c r="CD26" s="32"/>
      <c r="CE26" s="32"/>
    </row>
    <row r="27" spans="1:83" x14ac:dyDescent="0.3">
      <c r="A27" s="15">
        <f t="shared" ca="1" si="1"/>
        <v>6</v>
      </c>
      <c r="B27" s="15" t="str">
        <f ca="1"/>
        <v>Mirpur</v>
      </c>
      <c r="C27" s="15">
        <f ca="1"/>
        <v>19</v>
      </c>
      <c r="D27" s="15"/>
      <c r="E27" s="16" t="s">
        <v>13</v>
      </c>
      <c r="F27" s="16" t="s">
        <v>88</v>
      </c>
      <c r="G27" s="16">
        <v>0.25703564727954969</v>
      </c>
      <c r="H27" s="15"/>
      <c r="I27" s="15"/>
      <c r="J27" s="18"/>
      <c r="K27" s="15"/>
      <c r="N27" s="2"/>
      <c r="O27" s="2"/>
      <c r="P27" s="2"/>
      <c r="Q27" s="2"/>
      <c r="R27" s="2"/>
      <c r="S27" s="2"/>
      <c r="T27" s="2"/>
      <c r="U27" s="2"/>
      <c r="V27" s="2"/>
      <c r="W27" s="2"/>
      <c r="X27" s="2"/>
      <c r="Y27" s="2"/>
      <c r="Z27" s="4"/>
      <c r="AA27" s="4"/>
      <c r="AB27" s="7"/>
      <c r="AC27" s="7"/>
      <c r="AD27" s="7"/>
      <c r="AE27" s="7"/>
      <c r="AF27" s="7"/>
      <c r="AG27" s="7"/>
      <c r="AH27" s="7"/>
      <c r="AI27" s="7"/>
      <c r="AJ27" s="7"/>
      <c r="AK27" s="7"/>
      <c r="AM27" s="14" t="s">
        <v>21</v>
      </c>
      <c r="AN27" s="17">
        <v>14</v>
      </c>
      <c r="AO27" s="30">
        <f t="shared" ca="1" si="0"/>
        <v>12</v>
      </c>
      <c r="AP27" t="str">
        <f ca="1"/>
        <v>Motijheel</v>
      </c>
      <c r="AQ27">
        <f ca="1"/>
        <v>15</v>
      </c>
      <c r="BL27">
        <v>64</v>
      </c>
      <c r="BM27">
        <v>1</v>
      </c>
      <c r="BN27">
        <v>1</v>
      </c>
      <c r="BO27">
        <v>1</v>
      </c>
      <c r="BP27">
        <v>1</v>
      </c>
      <c r="BR27" s="54">
        <v>1</v>
      </c>
      <c r="BS27" s="54">
        <v>1</v>
      </c>
      <c r="BT27" s="54">
        <v>1</v>
      </c>
      <c r="BU27" s="55">
        <v>258</v>
      </c>
      <c r="BV27" s="32"/>
      <c r="BW27" s="32"/>
      <c r="BX27" s="32"/>
      <c r="BY27" s="32"/>
      <c r="BZ27" s="32"/>
      <c r="CA27" s="32"/>
      <c r="CB27" s="32"/>
      <c r="CC27" s="32"/>
      <c r="CD27" s="32"/>
      <c r="CE27" s="32"/>
    </row>
    <row r="28" spans="1:83" x14ac:dyDescent="0.3">
      <c r="A28" s="15">
        <f t="shared" ca="1" si="1"/>
        <v>6</v>
      </c>
      <c r="B28" s="15" t="str">
        <f ca="1"/>
        <v>Kadamtali</v>
      </c>
      <c r="C28" s="15">
        <f ca="1"/>
        <v>19</v>
      </c>
      <c r="D28" s="15"/>
      <c r="E28" s="16" t="s">
        <v>13</v>
      </c>
      <c r="F28" s="16" t="s">
        <v>89</v>
      </c>
      <c r="G28" s="16">
        <v>4.6904315196998121E-2</v>
      </c>
      <c r="H28" s="15"/>
      <c r="I28" s="15"/>
      <c r="J28" s="15"/>
      <c r="K28" s="15"/>
      <c r="N28" s="65"/>
      <c r="O28" s="65"/>
      <c r="P28" s="65"/>
      <c r="Q28" s="65"/>
      <c r="R28" s="2"/>
      <c r="S28" s="65" t="s">
        <v>66</v>
      </c>
      <c r="T28" s="65"/>
      <c r="U28" s="65"/>
      <c r="V28" s="2"/>
      <c r="W28" s="2"/>
      <c r="X28" s="2"/>
      <c r="Y28" s="2"/>
      <c r="Z28" s="4"/>
      <c r="AA28" s="4"/>
      <c r="AB28" s="7"/>
      <c r="AC28" s="7"/>
      <c r="AD28" s="7"/>
      <c r="AE28" s="7"/>
      <c r="AF28" s="7"/>
      <c r="AG28" s="7"/>
      <c r="AH28" s="7"/>
      <c r="AI28" s="7"/>
      <c r="AJ28" s="7"/>
      <c r="AK28" s="7"/>
      <c r="AM28" s="14" t="s">
        <v>25</v>
      </c>
      <c r="AN28" s="17">
        <v>14</v>
      </c>
      <c r="AO28" s="30">
        <f t="shared" ca="1" si="0"/>
        <v>15</v>
      </c>
      <c r="AP28" t="str">
        <f ca="1"/>
        <v>New Market</v>
      </c>
      <c r="AQ28">
        <f ca="1"/>
        <v>14</v>
      </c>
      <c r="BL28">
        <v>65</v>
      </c>
      <c r="BM28">
        <v>0</v>
      </c>
      <c r="BN28">
        <v>0</v>
      </c>
      <c r="BO28">
        <v>0</v>
      </c>
      <c r="BP28">
        <v>0</v>
      </c>
      <c r="BR28" s="32"/>
      <c r="BS28" s="32"/>
      <c r="BT28" s="32"/>
      <c r="BU28" s="32"/>
      <c r="BV28" s="32"/>
      <c r="BW28" s="32"/>
      <c r="BX28" s="32"/>
      <c r="BY28" s="32"/>
      <c r="BZ28" s="32"/>
      <c r="CA28" s="32"/>
      <c r="CB28" s="32"/>
      <c r="CC28" s="32"/>
      <c r="CD28" s="32"/>
      <c r="CE28" s="32"/>
    </row>
    <row r="29" spans="1:83" x14ac:dyDescent="0.3">
      <c r="A29" s="15">
        <f t="shared" ca="1" si="1"/>
        <v>8</v>
      </c>
      <c r="B29" s="15" t="str">
        <f ca="1"/>
        <v>Badda</v>
      </c>
      <c r="C29" s="15">
        <f ca="1"/>
        <v>17</v>
      </c>
      <c r="D29" s="15"/>
      <c r="E29" s="15"/>
      <c r="F29" s="15"/>
      <c r="G29" s="15"/>
      <c r="H29" s="15"/>
      <c r="I29" s="15"/>
      <c r="J29" s="15"/>
      <c r="K29" s="15"/>
      <c r="N29" s="65"/>
      <c r="O29" s="65"/>
      <c r="P29" s="65"/>
      <c r="Q29" s="65"/>
      <c r="R29" s="2"/>
      <c r="S29" s="65"/>
      <c r="T29" s="65"/>
      <c r="U29" s="65"/>
      <c r="V29" s="2"/>
      <c r="W29" s="2"/>
      <c r="X29" s="2"/>
      <c r="Y29" s="2"/>
      <c r="Z29" s="4"/>
      <c r="AA29" s="4"/>
      <c r="AB29" s="7"/>
      <c r="AC29" s="7"/>
      <c r="AD29" s="7"/>
      <c r="AE29" s="7"/>
      <c r="AF29" s="7"/>
      <c r="AG29" s="7"/>
      <c r="AH29" s="14" t="s">
        <v>103</v>
      </c>
      <c r="AI29" s="14" t="s">
        <v>81</v>
      </c>
      <c r="AJ29" s="7"/>
      <c r="AK29" s="7"/>
      <c r="AM29" s="14" t="s">
        <v>16</v>
      </c>
      <c r="AN29" s="17">
        <v>14</v>
      </c>
      <c r="AO29" s="30">
        <f t="shared" ca="1" si="0"/>
        <v>15</v>
      </c>
      <c r="AP29" t="str">
        <f ca="1"/>
        <v>Pallabi</v>
      </c>
      <c r="AQ29">
        <f ca="1"/>
        <v>14</v>
      </c>
      <c r="BL29">
        <v>60</v>
      </c>
      <c r="BM29">
        <v>0</v>
      </c>
      <c r="BN29">
        <v>0</v>
      </c>
      <c r="BO29">
        <v>0</v>
      </c>
      <c r="BP29">
        <v>0</v>
      </c>
      <c r="BR29" s="56">
        <v>0</v>
      </c>
      <c r="BS29" s="56">
        <v>0</v>
      </c>
      <c r="BT29" s="56">
        <v>0</v>
      </c>
      <c r="BU29" s="57">
        <v>0</v>
      </c>
      <c r="BV29" s="32" t="s">
        <v>104</v>
      </c>
      <c r="BW29" s="68" t="s">
        <v>109</v>
      </c>
      <c r="BX29" s="68"/>
      <c r="BY29" s="68"/>
      <c r="BZ29" s="68"/>
      <c r="CA29" s="32"/>
      <c r="CB29" s="32"/>
      <c r="CC29" s="32"/>
      <c r="CD29" s="32"/>
      <c r="CE29" s="32"/>
    </row>
    <row r="30" spans="1:83" x14ac:dyDescent="0.3">
      <c r="A30" s="15">
        <f t="shared" ca="1" si="1"/>
        <v>8</v>
      </c>
      <c r="B30" s="15" t="str">
        <f ca="1"/>
        <v>Kafrul</v>
      </c>
      <c r="C30" s="15">
        <f ca="1"/>
        <v>17</v>
      </c>
      <c r="D30" s="15"/>
      <c r="E30" s="63" t="s">
        <v>62</v>
      </c>
      <c r="F30" s="63"/>
      <c r="G30" s="63"/>
      <c r="H30" s="15"/>
      <c r="I30" s="15"/>
      <c r="J30" s="15"/>
      <c r="K30" s="15"/>
      <c r="N30" s="2"/>
      <c r="O30" s="2"/>
      <c r="P30" s="2"/>
      <c r="Q30" s="2"/>
      <c r="R30" s="2"/>
      <c r="S30" s="2"/>
      <c r="T30" s="2"/>
      <c r="U30" s="2"/>
      <c r="V30" s="2"/>
      <c r="W30" s="2"/>
      <c r="X30" s="2"/>
      <c r="Y30" s="2"/>
      <c r="Z30" s="4"/>
      <c r="AA30" s="4"/>
      <c r="AB30" s="7"/>
      <c r="AC30" s="7"/>
      <c r="AD30" s="7"/>
      <c r="AE30" s="7"/>
      <c r="AF30" s="7"/>
      <c r="AG30" s="7"/>
      <c r="AH30" s="14" t="s">
        <v>108</v>
      </c>
      <c r="AI30" s="17">
        <v>463</v>
      </c>
      <c r="AJ30" s="7"/>
      <c r="AK30" s="7"/>
      <c r="AM30" s="14" t="s">
        <v>35</v>
      </c>
      <c r="AN30" s="17">
        <v>10</v>
      </c>
      <c r="AO30" s="30">
        <f t="shared" ca="1" si="0"/>
        <v>15</v>
      </c>
      <c r="AP30" t="str">
        <f ca="1"/>
        <v>Paltan</v>
      </c>
      <c r="AQ30">
        <f ca="1"/>
        <v>14</v>
      </c>
      <c r="BL30">
        <v>44</v>
      </c>
      <c r="BM30">
        <v>1</v>
      </c>
      <c r="BN30">
        <v>1</v>
      </c>
      <c r="BO30">
        <v>1</v>
      </c>
      <c r="BP30">
        <v>1</v>
      </c>
      <c r="BR30" s="56">
        <v>0</v>
      </c>
      <c r="BS30" s="56">
        <v>0</v>
      </c>
      <c r="BT30" s="56">
        <v>1</v>
      </c>
      <c r="BU30" s="57">
        <v>0</v>
      </c>
      <c r="BV30" s="32" t="s">
        <v>104</v>
      </c>
      <c r="BW30" s="68"/>
      <c r="BX30" s="68"/>
      <c r="BY30" s="68"/>
      <c r="BZ30" s="68"/>
      <c r="CA30" s="32"/>
      <c r="CB30" s="32"/>
      <c r="CC30" s="32"/>
      <c r="CD30" s="32"/>
      <c r="CE30" s="32"/>
    </row>
    <row r="31" spans="1:83" x14ac:dyDescent="0.3">
      <c r="A31" s="15">
        <f t="shared" ca="1" si="1"/>
        <v>8</v>
      </c>
      <c r="B31" s="15" t="str">
        <f ca="1"/>
        <v>Dhanmondi</v>
      </c>
      <c r="C31" s="15">
        <f ca="1"/>
        <v>17</v>
      </c>
      <c r="D31" s="15"/>
      <c r="E31" s="15" t="str" cm="1">
        <f t="array" ref="E31:G31">_xlfn.XLOOKUP(MAX(G19:G28),G19:G28,E19:G28,,0)</f>
        <v>Female</v>
      </c>
      <c r="F31" s="15" t="str">
        <v>31-60</v>
      </c>
      <c r="G31" s="19">
        <v>0.27016885553470921</v>
      </c>
      <c r="H31" s="15"/>
      <c r="I31" s="15"/>
      <c r="J31" s="15"/>
      <c r="K31" s="15"/>
      <c r="N31" s="65"/>
      <c r="O31" s="65"/>
      <c r="P31" s="65"/>
      <c r="Q31" s="65"/>
      <c r="R31" s="2"/>
      <c r="S31" s="2"/>
      <c r="T31" s="2"/>
      <c r="U31" s="2"/>
      <c r="V31" s="2"/>
      <c r="W31" s="2"/>
      <c r="X31" s="2"/>
      <c r="Y31" s="2"/>
      <c r="Z31" s="4"/>
      <c r="AA31" s="4"/>
      <c r="AB31" s="7"/>
      <c r="AC31" s="7"/>
      <c r="AD31" s="7"/>
      <c r="AE31" s="7"/>
      <c r="AF31" s="7"/>
      <c r="AG31" s="7"/>
      <c r="AH31" s="14" t="s">
        <v>106</v>
      </c>
      <c r="AI31" s="17">
        <v>519</v>
      </c>
      <c r="AJ31" s="7"/>
      <c r="AK31" s="7"/>
      <c r="AM31" s="14" t="s">
        <v>50</v>
      </c>
      <c r="AN31" s="17">
        <v>14</v>
      </c>
      <c r="AO31" s="30">
        <f t="shared" ca="1" si="0"/>
        <v>29</v>
      </c>
      <c r="AP31" t="str">
        <f ca="1"/>
        <v>Ramna</v>
      </c>
      <c r="AQ31">
        <f ca="1"/>
        <v>10</v>
      </c>
      <c r="AR31" s="4"/>
      <c r="BL31">
        <v>13</v>
      </c>
      <c r="BM31">
        <v>0</v>
      </c>
      <c r="BN31">
        <v>1</v>
      </c>
      <c r="BO31">
        <v>0</v>
      </c>
      <c r="BP31">
        <v>1</v>
      </c>
      <c r="BR31" s="56">
        <v>0</v>
      </c>
      <c r="BS31" s="56">
        <v>1</v>
      </c>
      <c r="BT31" s="56">
        <v>0</v>
      </c>
      <c r="BU31" s="57">
        <v>1</v>
      </c>
      <c r="BV31" s="32" t="s">
        <v>105</v>
      </c>
      <c r="BW31" s="68"/>
      <c r="BX31" s="68"/>
      <c r="BY31" s="68"/>
      <c r="BZ31" s="68"/>
      <c r="CA31" s="32"/>
      <c r="CB31" s="32"/>
      <c r="CC31" s="32"/>
      <c r="CD31" s="32"/>
      <c r="CE31" s="32"/>
    </row>
    <row r="32" spans="1:83" x14ac:dyDescent="0.3">
      <c r="A32" s="14" t="s">
        <v>57</v>
      </c>
      <c r="B32" s="20" t="s">
        <v>58</v>
      </c>
      <c r="C32" s="15"/>
      <c r="D32" s="15"/>
      <c r="E32" s="15" t="str">
        <f>E31&amp;" "&amp;F31</f>
        <v>Female 31-60</v>
      </c>
      <c r="F32" s="15"/>
      <c r="G32" s="19">
        <f>$G$31</f>
        <v>0.27016885553470921</v>
      </c>
      <c r="H32" s="15"/>
      <c r="I32" s="15"/>
      <c r="J32" s="15"/>
      <c r="K32" s="15"/>
      <c r="N32" s="65"/>
      <c r="O32" s="65"/>
      <c r="P32" s="65"/>
      <c r="Q32" s="65"/>
      <c r="R32" s="2"/>
      <c r="S32" s="2"/>
      <c r="T32" s="2"/>
      <c r="U32" s="2"/>
      <c r="V32" s="2"/>
      <c r="W32" s="2"/>
      <c r="X32" s="2"/>
      <c r="Y32" s="2"/>
      <c r="Z32" s="4"/>
      <c r="AA32" s="4"/>
      <c r="AB32" s="7"/>
      <c r="AC32" s="7"/>
      <c r="AD32" s="7"/>
      <c r="AE32" s="7"/>
      <c r="AF32" s="7"/>
      <c r="AG32" s="7"/>
      <c r="AH32" s="14" t="s">
        <v>105</v>
      </c>
      <c r="AI32" s="17">
        <v>13</v>
      </c>
      <c r="AJ32" s="7"/>
      <c r="AK32" s="7"/>
      <c r="AM32" s="14" t="s">
        <v>38</v>
      </c>
      <c r="AN32" s="17">
        <v>15</v>
      </c>
      <c r="AO32" s="30">
        <f t="shared" ca="1" si="0"/>
        <v>15</v>
      </c>
      <c r="AP32" t="str">
        <f ca="1"/>
        <v>Rampura</v>
      </c>
      <c r="AQ32">
        <f ca="1"/>
        <v>14</v>
      </c>
      <c r="AR32" s="4"/>
      <c r="BL32">
        <v>35</v>
      </c>
      <c r="BM32">
        <v>0</v>
      </c>
      <c r="BN32">
        <v>0</v>
      </c>
      <c r="BO32">
        <v>0</v>
      </c>
      <c r="BP32">
        <v>0</v>
      </c>
      <c r="BR32" s="56">
        <v>0</v>
      </c>
      <c r="BS32" s="56">
        <v>1</v>
      </c>
      <c r="BT32" s="56">
        <v>1</v>
      </c>
      <c r="BU32" s="56">
        <v>1</v>
      </c>
      <c r="BV32" s="32" t="s">
        <v>104</v>
      </c>
      <c r="BW32" s="68"/>
      <c r="BX32" s="68"/>
      <c r="BY32" s="68"/>
      <c r="BZ32" s="68"/>
      <c r="CA32" s="32"/>
      <c r="CB32" s="32"/>
      <c r="CC32" s="32"/>
      <c r="CD32" s="32"/>
      <c r="CE32" s="32"/>
    </row>
    <row r="33" spans="1:83" x14ac:dyDescent="0.3">
      <c r="A33" s="14" t="str">
        <f ca="1">VLOOKUP(1,A21:C31,2,FALSE)</f>
        <v>Jatrabari</v>
      </c>
      <c r="B33" s="21">
        <f ca="1">VLOOKUP(1,A21:C31,3,FALSE)/GETPIVOTDATA("[Measures].[Sum of Outcome]",$B$1)</f>
        <v>5.8161350844277676E-2</v>
      </c>
      <c r="C33" s="15"/>
      <c r="D33" s="15"/>
      <c r="E33" s="15"/>
      <c r="F33" s="15"/>
      <c r="G33" s="15"/>
      <c r="H33" s="15"/>
      <c r="I33" s="15"/>
      <c r="J33" s="15"/>
      <c r="K33" s="15"/>
      <c r="N33" s="2"/>
      <c r="O33" s="2"/>
      <c r="P33" s="2"/>
      <c r="Q33" s="2"/>
      <c r="R33" s="2"/>
      <c r="S33" s="2"/>
      <c r="T33" s="2"/>
      <c r="U33" s="2"/>
      <c r="V33" s="2"/>
      <c r="W33" s="2"/>
      <c r="X33" s="2"/>
      <c r="Y33" s="2"/>
      <c r="Z33" s="4"/>
      <c r="AA33" s="4"/>
      <c r="AB33" s="7"/>
      <c r="AC33" s="7"/>
      <c r="AD33" s="7"/>
      <c r="AE33" s="7"/>
      <c r="AF33" s="7"/>
      <c r="AG33" s="7"/>
      <c r="AJ33" s="7"/>
      <c r="AK33" s="7"/>
      <c r="AM33" s="14" t="s">
        <v>27</v>
      </c>
      <c r="AN33" s="17">
        <v>11</v>
      </c>
      <c r="AO33" s="30">
        <f t="shared" ca="1" si="0"/>
        <v>12</v>
      </c>
      <c r="AP33" t="str">
        <f ca="1"/>
        <v>Sabujbagh</v>
      </c>
      <c r="AQ33">
        <f ca="1"/>
        <v>15</v>
      </c>
      <c r="AR33" s="4"/>
      <c r="BL33">
        <v>13</v>
      </c>
      <c r="BM33">
        <v>1</v>
      </c>
      <c r="BN33">
        <v>1</v>
      </c>
      <c r="BO33">
        <v>1</v>
      </c>
      <c r="BP33">
        <v>1</v>
      </c>
      <c r="BR33" s="56">
        <v>1</v>
      </c>
      <c r="BS33" s="56">
        <v>1</v>
      </c>
      <c r="BT33" s="56">
        <v>0</v>
      </c>
      <c r="BU33" s="56">
        <v>1</v>
      </c>
      <c r="BV33" s="32" t="s">
        <v>106</v>
      </c>
      <c r="BW33" s="68"/>
      <c r="BX33" s="68"/>
      <c r="BY33" s="68"/>
      <c r="BZ33" s="68"/>
      <c r="CA33" s="32"/>
      <c r="CB33" s="32"/>
      <c r="CC33" s="32"/>
      <c r="CD33" s="32"/>
      <c r="CE33" s="32"/>
    </row>
    <row r="34" spans="1:83" x14ac:dyDescent="0.3">
      <c r="A34" s="15"/>
      <c r="B34" s="15"/>
      <c r="C34" s="15"/>
      <c r="D34" s="15"/>
      <c r="E34" s="15"/>
      <c r="F34" s="15"/>
      <c r="G34" s="15"/>
      <c r="H34" s="15"/>
      <c r="I34" s="15"/>
      <c r="J34" s="15"/>
      <c r="K34" s="15"/>
      <c r="N34" s="2"/>
      <c r="O34" s="2"/>
      <c r="P34" s="2"/>
      <c r="Q34" s="2"/>
      <c r="R34" s="2"/>
      <c r="S34" s="2"/>
      <c r="T34" s="2"/>
      <c r="U34" s="2"/>
      <c r="V34" s="2"/>
      <c r="W34" s="2"/>
      <c r="X34" s="2"/>
      <c r="Y34" s="2"/>
      <c r="Z34" s="4"/>
      <c r="AA34" s="4"/>
      <c r="AB34" s="7"/>
      <c r="AC34" s="7"/>
      <c r="AD34" s="7"/>
      <c r="AE34" s="7"/>
      <c r="AF34" s="7"/>
      <c r="AG34" s="7"/>
      <c r="AJ34" s="7"/>
      <c r="AK34" s="7"/>
      <c r="AM34" s="14" t="s">
        <v>23</v>
      </c>
      <c r="AN34" s="17">
        <v>9</v>
      </c>
      <c r="AO34" s="30">
        <f t="shared" ca="1" si="0"/>
        <v>26</v>
      </c>
      <c r="AP34" t="str">
        <f ca="1"/>
        <v>Shahbagh</v>
      </c>
      <c r="AQ34">
        <f ca="1"/>
        <v>11</v>
      </c>
      <c r="AR34" s="4"/>
      <c r="BL34">
        <v>39</v>
      </c>
      <c r="BM34">
        <v>0</v>
      </c>
      <c r="BN34">
        <v>0</v>
      </c>
      <c r="BO34">
        <v>1</v>
      </c>
      <c r="BP34">
        <v>0</v>
      </c>
      <c r="BR34" s="56">
        <v>1</v>
      </c>
      <c r="BS34" s="56">
        <v>1</v>
      </c>
      <c r="BT34" s="56">
        <v>1</v>
      </c>
      <c r="BU34" s="56">
        <v>1</v>
      </c>
      <c r="BV34" s="32" t="s">
        <v>106</v>
      </c>
      <c r="BW34" s="68"/>
      <c r="BX34" s="68"/>
      <c r="BY34" s="68"/>
      <c r="BZ34" s="68"/>
      <c r="CA34" s="32"/>
      <c r="CB34" s="32"/>
      <c r="CC34" s="32"/>
      <c r="CD34" s="32"/>
      <c r="CE34" s="32"/>
    </row>
    <row r="35" spans="1:83" x14ac:dyDescent="0.3">
      <c r="A35" s="14" t="s">
        <v>7</v>
      </c>
      <c r="B35" s="14" t="s">
        <v>60</v>
      </c>
      <c r="C35" s="15"/>
      <c r="D35" s="15"/>
      <c r="E35" s="15"/>
      <c r="F35" s="15"/>
      <c r="G35" s="15"/>
      <c r="H35" s="15"/>
      <c r="I35" s="15"/>
      <c r="J35" s="15"/>
      <c r="K35" s="15"/>
      <c r="N35" s="2"/>
      <c r="O35" s="2"/>
      <c r="P35" s="2"/>
      <c r="Q35" s="2"/>
      <c r="R35" s="2"/>
      <c r="S35" s="2"/>
      <c r="T35" s="2"/>
      <c r="U35" s="2"/>
      <c r="V35" s="2"/>
      <c r="W35" s="2"/>
      <c r="X35" s="2"/>
      <c r="Y35" s="2"/>
      <c r="Z35" s="4"/>
      <c r="AA35" s="4"/>
      <c r="AB35" s="7"/>
      <c r="AC35" s="7"/>
      <c r="AD35" s="7"/>
      <c r="AE35" s="7"/>
      <c r="AF35" s="7"/>
      <c r="AG35" s="7"/>
      <c r="AJ35" s="7"/>
      <c r="AK35" s="7"/>
      <c r="AM35" s="14" t="s">
        <v>28</v>
      </c>
      <c r="AN35" s="17">
        <v>9</v>
      </c>
      <c r="AO35" s="30">
        <f t="shared" ca="1" si="0"/>
        <v>34</v>
      </c>
      <c r="AP35" t="str">
        <f ca="1"/>
        <v>Sher-e-Bangla Nagar</v>
      </c>
      <c r="AQ35">
        <f ca="1"/>
        <v>9</v>
      </c>
      <c r="AR35" s="4"/>
      <c r="BL35">
        <v>27</v>
      </c>
      <c r="BM35">
        <v>0</v>
      </c>
      <c r="BN35">
        <v>0</v>
      </c>
      <c r="BO35">
        <v>1</v>
      </c>
      <c r="BP35">
        <v>0</v>
      </c>
      <c r="BR35" s="32"/>
      <c r="BS35" s="32"/>
      <c r="BT35" s="32"/>
      <c r="BU35" s="32"/>
      <c r="BV35" s="32"/>
      <c r="BW35" s="32"/>
      <c r="BX35" s="32"/>
      <c r="BY35" s="32"/>
      <c r="BZ35" s="32"/>
      <c r="CA35" s="32"/>
      <c r="CB35" s="32"/>
      <c r="CC35" s="32"/>
      <c r="CD35" s="32"/>
      <c r="CE35" s="32"/>
    </row>
    <row r="36" spans="1:83" x14ac:dyDescent="0.3">
      <c r="A36" s="14" t="s">
        <v>12</v>
      </c>
      <c r="B36" s="16">
        <v>0.35834896810506567</v>
      </c>
      <c r="C36" s="15"/>
      <c r="D36" s="15"/>
      <c r="E36" s="15"/>
      <c r="F36" s="15"/>
      <c r="G36" s="15"/>
      <c r="H36" s="15"/>
      <c r="I36" s="15"/>
      <c r="J36" s="15"/>
      <c r="K36" s="15"/>
      <c r="N36" s="2"/>
      <c r="O36" s="2"/>
      <c r="P36" s="2"/>
      <c r="Q36" s="2"/>
      <c r="R36" s="2"/>
      <c r="S36" s="2"/>
      <c r="T36" s="2"/>
      <c r="U36" s="2"/>
      <c r="V36" s="2"/>
      <c r="W36" s="2"/>
      <c r="X36" s="2"/>
      <c r="Y36" s="2"/>
      <c r="Z36" s="4"/>
      <c r="AA36" s="4"/>
      <c r="AB36" s="7"/>
      <c r="AC36" s="7"/>
      <c r="AD36" s="7"/>
      <c r="AE36" s="7"/>
      <c r="AF36" s="7"/>
      <c r="AG36" s="7"/>
      <c r="AJ36" s="7"/>
      <c r="AK36" s="7"/>
      <c r="AM36" s="14" t="s">
        <v>40</v>
      </c>
      <c r="AN36" s="17">
        <v>10</v>
      </c>
      <c r="AO36" s="30">
        <f t="shared" ca="1" si="0"/>
        <v>34</v>
      </c>
      <c r="AP36" t="str">
        <f ca="1"/>
        <v>Shyampur</v>
      </c>
      <c r="AQ36">
        <f ca="1"/>
        <v>9</v>
      </c>
      <c r="AR36" s="4"/>
      <c r="AS36" s="69" t="s">
        <v>64</v>
      </c>
      <c r="AT36" s="69"/>
      <c r="AU36" s="69"/>
      <c r="BL36">
        <v>11</v>
      </c>
      <c r="BM36">
        <v>1</v>
      </c>
      <c r="BN36">
        <v>1</v>
      </c>
      <c r="BO36">
        <v>1</v>
      </c>
      <c r="BP36">
        <v>1</v>
      </c>
      <c r="BR36" s="32"/>
      <c r="BS36" s="32"/>
      <c r="BT36" s="32"/>
      <c r="BU36" s="32"/>
      <c r="BV36" s="32"/>
      <c r="BW36" s="32"/>
      <c r="BX36" s="32"/>
      <c r="BY36" s="32"/>
      <c r="BZ36" s="32"/>
      <c r="CA36" s="32"/>
      <c r="CB36" s="32"/>
      <c r="CC36" s="32"/>
      <c r="CD36" s="32"/>
      <c r="CE36" s="32"/>
    </row>
    <row r="37" spans="1:83" x14ac:dyDescent="0.3">
      <c r="A37" s="14" t="s">
        <v>17</v>
      </c>
      <c r="B37" s="16">
        <v>0.31707317073170732</v>
      </c>
      <c r="C37" s="15"/>
      <c r="D37" s="15"/>
      <c r="E37" s="15"/>
      <c r="F37" s="15"/>
      <c r="G37" s="15"/>
      <c r="H37" s="15"/>
      <c r="I37" s="15"/>
      <c r="J37" s="15"/>
      <c r="K37" s="15"/>
      <c r="N37" s="2"/>
      <c r="O37" s="2"/>
      <c r="P37" s="2"/>
      <c r="Q37" s="2"/>
      <c r="R37" s="2"/>
      <c r="S37" s="2"/>
      <c r="T37" s="2"/>
      <c r="U37" s="2"/>
      <c r="V37" s="2"/>
      <c r="W37" s="2"/>
      <c r="X37" s="2"/>
      <c r="Y37" s="2"/>
      <c r="Z37" s="4"/>
      <c r="AA37" s="4"/>
      <c r="AB37" s="7"/>
      <c r="AC37" s="7"/>
      <c r="AD37" s="7"/>
      <c r="AE37" s="7"/>
      <c r="AF37" s="7"/>
      <c r="AG37" s="7"/>
      <c r="AJ37" s="7"/>
      <c r="AK37" s="7"/>
      <c r="AM37" s="14" t="s">
        <v>46</v>
      </c>
      <c r="AN37" s="17">
        <v>24</v>
      </c>
      <c r="AO37" s="30">
        <f t="shared" ca="1" si="0"/>
        <v>29</v>
      </c>
      <c r="AP37" t="str">
        <f ca="1"/>
        <v>Sutrapur</v>
      </c>
      <c r="AQ37">
        <f ca="1"/>
        <v>10</v>
      </c>
      <c r="AR37" s="4"/>
      <c r="AS37" s="69"/>
      <c r="AT37" s="69"/>
      <c r="AU37" s="69"/>
      <c r="BL37">
        <v>46</v>
      </c>
      <c r="BM37">
        <v>1</v>
      </c>
      <c r="BN37">
        <v>1</v>
      </c>
      <c r="BO37">
        <v>1</v>
      </c>
      <c r="BP37">
        <v>1</v>
      </c>
      <c r="BR37" s="32"/>
      <c r="BS37" s="32"/>
      <c r="BT37" s="32"/>
      <c r="BU37" s="32"/>
      <c r="BV37" s="32"/>
      <c r="BW37" s="32"/>
      <c r="BX37" s="32"/>
      <c r="BY37" s="32"/>
      <c r="BZ37" s="32"/>
      <c r="CA37" s="32"/>
      <c r="CB37" s="32"/>
      <c r="CC37" s="32"/>
      <c r="CD37" s="32"/>
      <c r="CE37" s="32"/>
    </row>
    <row r="38" spans="1:83" x14ac:dyDescent="0.3">
      <c r="A38" s="14" t="s">
        <v>22</v>
      </c>
      <c r="B38" s="16">
        <v>0.32457786116322701</v>
      </c>
      <c r="C38" s="15"/>
      <c r="D38" s="15"/>
      <c r="E38" s="15"/>
      <c r="F38" s="15"/>
      <c r="G38" s="15"/>
      <c r="H38" s="15"/>
      <c r="I38" s="15"/>
      <c r="J38" s="15"/>
      <c r="K38" s="15"/>
      <c r="N38" s="2"/>
      <c r="O38" s="2"/>
      <c r="P38" s="2"/>
      <c r="Q38" s="2"/>
      <c r="R38" s="2"/>
      <c r="S38" s="2"/>
      <c r="T38" s="2"/>
      <c r="U38" s="2"/>
      <c r="V38" s="2"/>
      <c r="W38" s="2"/>
      <c r="X38" s="2"/>
      <c r="Y38" s="2"/>
      <c r="Z38" s="4"/>
      <c r="AA38" s="4"/>
      <c r="AB38" s="7"/>
      <c r="AC38" s="7"/>
      <c r="AD38" s="7"/>
      <c r="AE38" s="7"/>
      <c r="AF38" s="7"/>
      <c r="AG38" s="7"/>
      <c r="AJ38" s="7"/>
      <c r="AK38" s="7"/>
      <c r="AO38" s="30">
        <f t="shared" ca="1" si="0"/>
        <v>3</v>
      </c>
      <c r="AP38" t="str">
        <f ca="1"/>
        <v>Tejgaon</v>
      </c>
      <c r="AQ38">
        <f ca="1"/>
        <v>24</v>
      </c>
      <c r="AR38" s="4"/>
      <c r="BL38">
        <v>10</v>
      </c>
      <c r="BM38">
        <v>1</v>
      </c>
      <c r="BN38">
        <v>1</v>
      </c>
      <c r="BO38">
        <v>0</v>
      </c>
      <c r="BP38">
        <v>1</v>
      </c>
      <c r="BR38" s="54" t="s">
        <v>2</v>
      </c>
      <c r="BS38" s="54" t="s">
        <v>3</v>
      </c>
      <c r="BT38" s="54" t="s">
        <v>4</v>
      </c>
      <c r="BU38" s="54" t="s">
        <v>107</v>
      </c>
      <c r="BV38" s="32"/>
      <c r="BW38" s="32"/>
      <c r="BX38" s="32"/>
      <c r="BY38" s="32"/>
      <c r="BZ38" s="32"/>
      <c r="CA38" s="32"/>
      <c r="CB38" s="32"/>
      <c r="CC38" s="32"/>
      <c r="CD38" s="32"/>
      <c r="CE38" s="32"/>
    </row>
    <row r="39" spans="1:83" x14ac:dyDescent="0.3">
      <c r="A39" s="31" t="s">
        <v>59</v>
      </c>
      <c r="B39" t="str" cm="1">
        <f t="array" ref="B39:C39">_xlfn.XLOOKUP(MAX(B36:B38),B36:B38,A36:B38,,0)</f>
        <v>Building</v>
      </c>
      <c r="C39" s="18">
        <v>0.35834896810506567</v>
      </c>
      <c r="D39" s="15"/>
      <c r="E39" s="15"/>
      <c r="F39" s="15"/>
      <c r="G39" s="15"/>
      <c r="H39" s="15"/>
      <c r="I39" s="15"/>
      <c r="J39" s="15"/>
      <c r="K39" s="15"/>
      <c r="N39" s="2"/>
      <c r="O39" s="2"/>
      <c r="P39" s="2"/>
      <c r="Q39" s="2"/>
      <c r="R39" s="2"/>
      <c r="S39" s="2"/>
      <c r="T39" s="2"/>
      <c r="U39" s="2"/>
      <c r="V39" s="2"/>
      <c r="W39" s="2"/>
      <c r="X39" s="2"/>
      <c r="Y39" s="2"/>
      <c r="Z39" s="4"/>
      <c r="AA39" s="4"/>
      <c r="AB39" s="7"/>
      <c r="AC39" s="7"/>
      <c r="AD39" s="7"/>
      <c r="AE39" s="7"/>
      <c r="AF39" s="7"/>
      <c r="AG39" s="7"/>
      <c r="AJ39" s="7"/>
      <c r="AK39" s="7"/>
      <c r="AR39" s="4"/>
      <c r="AS39" s="14" t="s">
        <v>96</v>
      </c>
      <c r="AT39" s="14" t="s">
        <v>95</v>
      </c>
      <c r="BL39">
        <v>13</v>
      </c>
      <c r="BM39">
        <v>0</v>
      </c>
      <c r="BN39">
        <v>0</v>
      </c>
      <c r="BO39">
        <v>1</v>
      </c>
      <c r="BP39">
        <v>0</v>
      </c>
      <c r="BR39" s="54">
        <v>0</v>
      </c>
      <c r="BS39" s="54">
        <v>0</v>
      </c>
      <c r="BT39" s="54">
        <v>0</v>
      </c>
      <c r="BU39" s="55">
        <v>249</v>
      </c>
      <c r="BV39" s="32"/>
      <c r="BW39" s="32"/>
      <c r="BX39" s="32"/>
      <c r="BY39" s="32"/>
      <c r="BZ39" s="32"/>
      <c r="CA39" s="32"/>
      <c r="CB39" s="32"/>
      <c r="CC39" s="32"/>
      <c r="CD39" s="32"/>
      <c r="CE39" s="32"/>
    </row>
    <row r="40" spans="1:83" x14ac:dyDescent="0.3">
      <c r="C40" s="15"/>
      <c r="D40" s="15"/>
      <c r="E40" s="15"/>
      <c r="F40" s="15"/>
      <c r="G40" s="15"/>
      <c r="H40" s="15"/>
      <c r="I40" s="15"/>
      <c r="J40" s="15"/>
      <c r="K40" s="15"/>
      <c r="N40" s="2"/>
      <c r="O40" s="2"/>
      <c r="P40" s="2"/>
      <c r="Q40" s="2"/>
      <c r="R40" s="2"/>
      <c r="S40" s="2"/>
      <c r="T40" s="2"/>
      <c r="U40" s="2"/>
      <c r="V40" s="2"/>
      <c r="W40" s="2"/>
      <c r="X40" s="2"/>
      <c r="Y40" s="2"/>
      <c r="Z40" s="4"/>
      <c r="AA40" s="4"/>
      <c r="AB40" s="7"/>
      <c r="AC40" s="7"/>
      <c r="AD40" s="7"/>
      <c r="AE40" s="7"/>
      <c r="AF40" s="7"/>
      <c r="AG40" s="7"/>
      <c r="AJ40" s="7"/>
      <c r="AK40" s="7"/>
      <c r="AS40" s="14">
        <v>1</v>
      </c>
      <c r="AT40" s="23">
        <v>35.742964352720449</v>
      </c>
      <c r="BL40">
        <v>50</v>
      </c>
      <c r="BM40">
        <v>0</v>
      </c>
      <c r="BN40">
        <v>1</v>
      </c>
      <c r="BO40">
        <v>0</v>
      </c>
      <c r="BP40">
        <v>1</v>
      </c>
      <c r="BR40" s="54">
        <v>0</v>
      </c>
      <c r="BS40" s="54">
        <v>0</v>
      </c>
      <c r="BT40" s="54">
        <v>1</v>
      </c>
      <c r="BU40" s="55">
        <v>214</v>
      </c>
      <c r="BV40" s="32"/>
      <c r="BW40" s="32"/>
      <c r="BX40" s="32"/>
      <c r="BY40" s="32"/>
      <c r="BZ40" s="32"/>
      <c r="CA40" s="32"/>
      <c r="CB40" s="32"/>
      <c r="CC40" s="32"/>
      <c r="CD40" s="32"/>
      <c r="CE40" s="32"/>
    </row>
    <row r="41" spans="1:83" x14ac:dyDescent="0.3">
      <c r="A41" s="14" t="s">
        <v>52</v>
      </c>
      <c r="B41" s="14" t="s">
        <v>60</v>
      </c>
      <c r="C41" s="15"/>
      <c r="D41" s="15"/>
      <c r="E41" s="15"/>
      <c r="F41" s="15"/>
      <c r="G41" s="15"/>
      <c r="H41" s="15"/>
      <c r="I41" s="15"/>
      <c r="J41" s="15"/>
      <c r="K41" s="15"/>
      <c r="N41" s="2"/>
      <c r="O41" s="2"/>
      <c r="P41" s="2"/>
      <c r="Q41" s="2"/>
      <c r="R41" s="2"/>
      <c r="S41" s="2"/>
      <c r="T41" s="2"/>
      <c r="U41" s="2"/>
      <c r="V41" s="2"/>
      <c r="W41" s="2"/>
      <c r="X41" s="2"/>
      <c r="Y41" s="2"/>
      <c r="Z41" s="4"/>
      <c r="AA41" s="4"/>
      <c r="AB41" s="4"/>
      <c r="AC41" s="4"/>
      <c r="AD41" s="4"/>
      <c r="AE41" s="4"/>
      <c r="AF41" s="4"/>
      <c r="AG41" s="4"/>
      <c r="AJ41" s="4"/>
      <c r="AK41" s="4"/>
      <c r="AL41" s="4"/>
      <c r="BL41">
        <v>34</v>
      </c>
      <c r="BM41">
        <v>1</v>
      </c>
      <c r="BN41">
        <v>1</v>
      </c>
      <c r="BO41">
        <v>0</v>
      </c>
      <c r="BP41">
        <v>1</v>
      </c>
      <c r="BR41" s="54">
        <v>0</v>
      </c>
      <c r="BS41" s="54">
        <v>1</v>
      </c>
      <c r="BT41" s="54">
        <v>0</v>
      </c>
      <c r="BU41" s="55">
        <v>13</v>
      </c>
      <c r="BV41" s="32"/>
      <c r="BW41" s="32"/>
      <c r="BX41" s="32"/>
      <c r="BY41" s="32"/>
      <c r="BZ41" s="32"/>
      <c r="CA41" s="32"/>
      <c r="CB41" s="32"/>
      <c r="CC41" s="32"/>
      <c r="CD41" s="32"/>
      <c r="CE41" s="32"/>
    </row>
    <row r="42" spans="1:83" x14ac:dyDescent="0.3">
      <c r="A42" s="14" t="s">
        <v>92</v>
      </c>
      <c r="B42" s="16">
        <v>7.3170731707317069E-2</v>
      </c>
      <c r="C42" s="15"/>
      <c r="D42" s="15"/>
      <c r="E42" s="15"/>
      <c r="F42" s="15"/>
      <c r="G42" s="15"/>
      <c r="H42" s="15"/>
      <c r="I42" s="15"/>
      <c r="J42" s="15"/>
      <c r="K42" s="15"/>
      <c r="N42" s="2"/>
      <c r="O42" s="2"/>
      <c r="P42" s="2"/>
      <c r="Q42" s="2"/>
      <c r="R42" s="2"/>
      <c r="S42" s="2"/>
      <c r="T42" s="2"/>
      <c r="U42" s="2"/>
      <c r="V42" s="2"/>
      <c r="W42" s="2"/>
      <c r="X42" s="2"/>
      <c r="Y42" s="2"/>
      <c r="Z42" s="4"/>
      <c r="AA42" s="4"/>
      <c r="AB42" s="4"/>
      <c r="AC42" s="4"/>
      <c r="AD42" s="4"/>
      <c r="AE42" s="4"/>
      <c r="AF42" s="4"/>
      <c r="AG42" s="4"/>
      <c r="AJ42" s="4"/>
      <c r="AK42" s="4"/>
      <c r="AL42" s="4"/>
      <c r="AS42" t="s">
        <v>98</v>
      </c>
      <c r="AT42" t="str" cm="1">
        <f t="array" ref="AT42:AU42">_xlfn.XLOOKUP(MAX(BA23:BA24),BA23:BA24,AZ23:BA24,,0)</f>
        <v>Undeveloped</v>
      </c>
      <c r="AU42">
        <v>276</v>
      </c>
      <c r="BL42">
        <v>54</v>
      </c>
      <c r="BM42">
        <v>0</v>
      </c>
      <c r="BN42">
        <v>0</v>
      </c>
      <c r="BO42">
        <v>1</v>
      </c>
      <c r="BP42">
        <v>0</v>
      </c>
      <c r="BR42" s="54">
        <v>0</v>
      </c>
      <c r="BS42" s="54">
        <v>1</v>
      </c>
      <c r="BT42" s="54">
        <v>1</v>
      </c>
      <c r="BU42" s="55">
        <v>1</v>
      </c>
      <c r="BV42" s="32"/>
      <c r="BW42" s="32"/>
      <c r="BX42" s="32"/>
      <c r="BY42" s="32"/>
      <c r="BZ42" s="32"/>
      <c r="CA42" s="32"/>
      <c r="CB42" s="32"/>
      <c r="CC42" s="32"/>
      <c r="CD42" s="32"/>
      <c r="CE42" s="32"/>
    </row>
    <row r="43" spans="1:83" x14ac:dyDescent="0.3">
      <c r="A43" s="14" t="s">
        <v>86</v>
      </c>
      <c r="B43" s="16">
        <v>0.13696060037523453</v>
      </c>
      <c r="C43" s="15"/>
      <c r="D43" s="15"/>
      <c r="E43" s="15"/>
      <c r="F43" s="15"/>
      <c r="G43" s="15"/>
      <c r="H43" s="15"/>
      <c r="I43" s="15"/>
      <c r="J43" s="15"/>
      <c r="K43" s="15"/>
      <c r="N43" s="2"/>
      <c r="O43" s="2"/>
      <c r="P43" s="2"/>
      <c r="Q43" s="2"/>
      <c r="R43" s="2"/>
      <c r="S43" s="2"/>
      <c r="T43" s="2"/>
      <c r="U43" s="2"/>
      <c r="V43" s="2"/>
      <c r="W43" s="2"/>
      <c r="X43" s="2"/>
      <c r="Y43" s="2"/>
      <c r="Z43" s="4"/>
      <c r="AA43" s="4"/>
      <c r="AB43" s="4"/>
      <c r="AC43" s="4"/>
      <c r="AD43" s="4"/>
      <c r="AE43" s="4"/>
      <c r="AF43" s="4"/>
      <c r="AG43" s="4"/>
      <c r="AJ43" s="4"/>
      <c r="AK43" s="4"/>
      <c r="AL43" s="4"/>
      <c r="BL43">
        <v>16</v>
      </c>
      <c r="BM43">
        <v>0</v>
      </c>
      <c r="BN43">
        <v>0</v>
      </c>
      <c r="BO43">
        <v>1</v>
      </c>
      <c r="BP43">
        <v>0</v>
      </c>
      <c r="BR43" s="54">
        <v>1</v>
      </c>
      <c r="BS43" s="54">
        <v>1</v>
      </c>
      <c r="BT43" s="54">
        <v>0</v>
      </c>
      <c r="BU43" s="55">
        <v>261</v>
      </c>
      <c r="BV43" s="32"/>
      <c r="BW43" s="32"/>
      <c r="BX43" s="32"/>
      <c r="BY43" s="32"/>
      <c r="BZ43" s="32"/>
      <c r="CA43" s="32"/>
      <c r="CB43" s="32"/>
      <c r="CC43" s="32"/>
      <c r="CD43" s="32"/>
      <c r="CE43" s="32"/>
    </row>
    <row r="44" spans="1:83" x14ac:dyDescent="0.3">
      <c r="A44" s="14" t="s">
        <v>87</v>
      </c>
      <c r="B44" s="16">
        <v>0.18198874296435272</v>
      </c>
      <c r="C44" s="25"/>
      <c r="D44" s="25"/>
      <c r="E44" s="25"/>
      <c r="F44" s="25"/>
      <c r="G44" s="25"/>
      <c r="H44" s="25"/>
      <c r="I44" s="25"/>
      <c r="J44" s="25"/>
      <c r="K44" s="25"/>
      <c r="N44" s="2"/>
      <c r="O44" s="2"/>
      <c r="P44" s="2"/>
      <c r="Q44" s="2"/>
      <c r="R44" s="2"/>
      <c r="S44" s="2"/>
      <c r="T44" s="2"/>
      <c r="U44" s="2"/>
      <c r="V44" s="2"/>
      <c r="W44" s="2"/>
      <c r="X44" s="2"/>
      <c r="Y44" s="2"/>
      <c r="Z44" s="4"/>
      <c r="AA44" s="4"/>
      <c r="AB44" s="4"/>
      <c r="AC44" s="4"/>
      <c r="AD44" s="4"/>
      <c r="AE44" s="4"/>
      <c r="AF44" s="4"/>
      <c r="AG44" s="4"/>
      <c r="AJ44" s="4"/>
      <c r="AK44" s="4"/>
      <c r="AL44" s="4"/>
      <c r="AS44" t="s">
        <v>123</v>
      </c>
      <c r="AT44" t="str" cm="1">
        <f t="array" ref="AT44:AU44">_xlfn.XLOOKUP(MAX(AI30:AI33),AI30:AI33,AH30:AI33,,0)</f>
        <v>High Risk</v>
      </c>
      <c r="AU44">
        <v>519</v>
      </c>
      <c r="BL44">
        <v>51</v>
      </c>
      <c r="BM44">
        <v>1</v>
      </c>
      <c r="BN44">
        <v>1</v>
      </c>
      <c r="BO44">
        <v>0</v>
      </c>
      <c r="BP44">
        <v>1</v>
      </c>
      <c r="BR44" s="54">
        <v>1</v>
      </c>
      <c r="BS44" s="54">
        <v>1</v>
      </c>
      <c r="BT44" s="54">
        <v>1</v>
      </c>
      <c r="BU44" s="55">
        <v>258</v>
      </c>
      <c r="BV44" s="32"/>
      <c r="BW44" s="32"/>
      <c r="BX44" s="32"/>
      <c r="BY44" s="32"/>
      <c r="BZ44" s="32"/>
      <c r="CA44" s="32"/>
      <c r="CB44" s="32"/>
      <c r="CC44" s="32"/>
      <c r="CD44" s="32"/>
      <c r="CE44" s="32"/>
    </row>
    <row r="45" spans="1:83" x14ac:dyDescent="0.3">
      <c r="A45" s="14" t="s">
        <v>88</v>
      </c>
      <c r="B45" s="16">
        <v>0.5272045028142589</v>
      </c>
      <c r="C45" s="27"/>
      <c r="D45" s="26"/>
      <c r="E45" s="26"/>
      <c r="F45" s="26"/>
      <c r="G45" s="27"/>
      <c r="H45" s="26"/>
      <c r="I45" s="28"/>
      <c r="J45" s="26"/>
      <c r="K45" s="26"/>
      <c r="N45" s="2"/>
      <c r="O45" s="2"/>
      <c r="P45" s="2"/>
      <c r="Q45" s="2"/>
      <c r="R45" s="2"/>
      <c r="S45" s="2"/>
      <c r="T45" s="2"/>
      <c r="U45" s="2"/>
      <c r="V45" s="2"/>
      <c r="W45" s="2"/>
      <c r="X45" s="2"/>
      <c r="Y45" s="2"/>
      <c r="Z45" s="4"/>
      <c r="AA45" s="4"/>
      <c r="AB45" s="4"/>
      <c r="AC45" s="4"/>
      <c r="AD45" s="4"/>
      <c r="AE45" s="4"/>
      <c r="AF45" s="4"/>
      <c r="AG45" s="4"/>
      <c r="AJ45" s="4"/>
      <c r="AK45" s="4"/>
      <c r="AL45" s="4"/>
      <c r="BL45">
        <v>9</v>
      </c>
      <c r="BM45">
        <v>1</v>
      </c>
      <c r="BN45">
        <v>1</v>
      </c>
      <c r="BO45">
        <v>1</v>
      </c>
      <c r="BP45">
        <v>1</v>
      </c>
      <c r="BR45" s="32"/>
      <c r="BS45" s="32"/>
      <c r="BT45" s="32"/>
      <c r="BU45" s="32"/>
      <c r="BV45" s="32"/>
      <c r="BW45" s="32"/>
      <c r="BX45" s="32"/>
      <c r="BY45" s="32"/>
      <c r="BZ45" s="32"/>
      <c r="CA45" s="32"/>
      <c r="CB45" s="32"/>
      <c r="CC45" s="32"/>
      <c r="CD45" s="32"/>
      <c r="CE45" s="32"/>
    </row>
    <row r="46" spans="1:83" x14ac:dyDescent="0.3">
      <c r="A46" s="14" t="s">
        <v>89</v>
      </c>
      <c r="B46" s="16">
        <v>8.0675422138836772E-2</v>
      </c>
      <c r="C46" s="27"/>
      <c r="D46" s="26"/>
      <c r="E46" s="26"/>
      <c r="F46" s="26"/>
      <c r="G46" s="26"/>
      <c r="H46" s="26"/>
      <c r="I46" s="26"/>
      <c r="J46" s="26"/>
      <c r="K46" s="26"/>
      <c r="N46" s="2"/>
      <c r="O46" s="2"/>
      <c r="P46" s="2"/>
      <c r="Q46" s="2"/>
      <c r="R46" s="2"/>
      <c r="S46" s="2"/>
      <c r="T46" s="2"/>
      <c r="U46" s="2"/>
      <c r="V46" s="2"/>
      <c r="W46" s="2"/>
      <c r="X46" s="2"/>
      <c r="Y46" s="2"/>
      <c r="Z46" s="4"/>
      <c r="AA46" s="4"/>
      <c r="AB46" s="4"/>
      <c r="AC46" s="4"/>
      <c r="AD46" s="4"/>
      <c r="AE46" s="4"/>
      <c r="AF46" s="4"/>
      <c r="AG46" s="4"/>
      <c r="AJ46" s="4"/>
      <c r="AK46" s="4"/>
      <c r="AL46" s="4"/>
      <c r="BL46">
        <v>37</v>
      </c>
      <c r="BM46">
        <v>0</v>
      </c>
      <c r="BN46">
        <v>0</v>
      </c>
      <c r="BO46">
        <v>0</v>
      </c>
      <c r="BP46">
        <v>0</v>
      </c>
      <c r="BR46" s="32"/>
      <c r="BS46" s="32"/>
      <c r="BT46" s="32"/>
      <c r="BU46" s="32"/>
      <c r="BV46" s="32"/>
      <c r="BW46" s="32"/>
      <c r="BX46" s="32"/>
      <c r="BY46" s="32"/>
      <c r="BZ46" s="32"/>
      <c r="CA46" s="32"/>
      <c r="CB46" s="32"/>
      <c r="CC46" s="32"/>
      <c r="CD46" s="32"/>
      <c r="CE46" s="32"/>
    </row>
    <row r="47" spans="1:83" x14ac:dyDescent="0.3">
      <c r="A47" s="24"/>
      <c r="B47" s="24"/>
      <c r="C47" s="27"/>
      <c r="D47" s="26"/>
      <c r="E47" s="26"/>
      <c r="F47" s="26"/>
      <c r="G47" s="26"/>
      <c r="H47" s="26"/>
      <c r="I47" s="26"/>
      <c r="J47" s="27"/>
      <c r="K47" s="26"/>
      <c r="N47" s="2"/>
      <c r="O47" s="2"/>
      <c r="P47" s="2"/>
      <c r="Q47" s="2"/>
      <c r="R47" s="2"/>
      <c r="S47" s="2"/>
      <c r="T47" s="2"/>
      <c r="U47" s="2"/>
      <c r="V47" s="2"/>
      <c r="W47" s="2"/>
      <c r="X47" s="2"/>
      <c r="Y47" s="2"/>
      <c r="Z47" s="4"/>
      <c r="AA47" s="4"/>
      <c r="AB47" s="4"/>
      <c r="AC47" s="4"/>
      <c r="AD47" s="4"/>
      <c r="AE47" s="4"/>
      <c r="AF47" s="4"/>
      <c r="AG47" s="4"/>
      <c r="AJ47" s="4"/>
      <c r="AK47" s="4"/>
      <c r="AL47" s="4"/>
      <c r="BL47">
        <v>13</v>
      </c>
      <c r="BM47">
        <v>0</v>
      </c>
      <c r="BN47">
        <v>0</v>
      </c>
      <c r="BO47">
        <v>0</v>
      </c>
      <c r="BP47">
        <v>0</v>
      </c>
      <c r="BR47" s="32"/>
      <c r="BS47" s="32"/>
      <c r="BT47" s="32"/>
      <c r="BU47" s="32"/>
      <c r="BV47" s="32"/>
      <c r="BW47" s="32"/>
      <c r="BX47" s="32"/>
      <c r="BY47" s="32"/>
      <c r="BZ47" s="32"/>
      <c r="CA47" s="32"/>
      <c r="CB47" s="32"/>
      <c r="CC47" s="32"/>
      <c r="CD47" s="32"/>
      <c r="CE47" s="32"/>
    </row>
    <row r="48" spans="1:83" x14ac:dyDescent="0.3">
      <c r="A48" s="14" t="s">
        <v>54</v>
      </c>
      <c r="B48" s="14" t="s">
        <v>55</v>
      </c>
      <c r="C48" s="27"/>
      <c r="D48" s="26"/>
      <c r="E48" s="26"/>
      <c r="F48" s="26"/>
      <c r="G48" s="26"/>
      <c r="H48" s="26"/>
      <c r="I48" s="26"/>
      <c r="J48" s="27"/>
      <c r="K48" s="26"/>
      <c r="N48" s="2"/>
      <c r="O48" s="2"/>
      <c r="P48" s="2"/>
      <c r="Q48" s="2"/>
      <c r="R48" s="2"/>
      <c r="S48" s="2"/>
      <c r="T48" s="2"/>
      <c r="U48" s="2"/>
      <c r="V48" s="2"/>
      <c r="W48" s="2"/>
      <c r="X48" s="2"/>
      <c r="Y48" s="2"/>
      <c r="Z48" s="4"/>
      <c r="AA48" s="4"/>
      <c r="AB48" s="4"/>
      <c r="AC48" s="4"/>
      <c r="AD48" s="4"/>
      <c r="AE48" s="4"/>
      <c r="AF48" s="4"/>
      <c r="AG48" s="4"/>
      <c r="AJ48" s="4"/>
      <c r="AK48" s="4"/>
      <c r="AL48" s="4"/>
      <c r="BL48">
        <v>62</v>
      </c>
      <c r="BM48">
        <v>0</v>
      </c>
      <c r="BN48">
        <v>1</v>
      </c>
      <c r="BO48">
        <v>0</v>
      </c>
      <c r="BP48">
        <v>1</v>
      </c>
      <c r="BR48" s="32"/>
      <c r="BS48" s="32"/>
      <c r="BT48" s="32"/>
      <c r="BU48" s="32"/>
      <c r="BV48" s="32"/>
      <c r="BW48" s="32"/>
      <c r="BX48" s="32"/>
      <c r="BY48" s="32"/>
      <c r="BZ48" s="32"/>
      <c r="CA48" s="32"/>
      <c r="CB48" s="32"/>
      <c r="CC48" s="32"/>
      <c r="CD48" s="32"/>
      <c r="CE48" s="32"/>
    </row>
    <row r="49" spans="1:83" x14ac:dyDescent="0.3">
      <c r="A49" s="14" t="str" cm="1">
        <f t="array" ref="A49:B49">_xlfn.XLOOKUP(MAX(B42:B46),B42:B46,A42:B46,,0)</f>
        <v>31-60</v>
      </c>
      <c r="B49" s="22">
        <v>0.5272045028142589</v>
      </c>
      <c r="C49" s="27"/>
      <c r="D49" s="26"/>
      <c r="E49" s="26"/>
      <c r="F49" s="26"/>
      <c r="G49" s="26"/>
      <c r="H49" s="26"/>
      <c r="I49" s="26"/>
      <c r="J49" s="27"/>
      <c r="K49" s="26"/>
      <c r="N49" s="2"/>
      <c r="O49" s="2"/>
      <c r="P49" s="2"/>
      <c r="Q49" s="2"/>
      <c r="R49" s="2"/>
      <c r="S49" s="2"/>
      <c r="T49" s="2"/>
      <c r="U49" s="2"/>
      <c r="V49" s="2"/>
      <c r="W49" s="2"/>
      <c r="X49" s="2"/>
      <c r="Y49" s="2"/>
      <c r="Z49" s="4"/>
      <c r="AA49" s="4"/>
      <c r="AB49" s="4"/>
      <c r="AC49" s="4"/>
      <c r="AD49" s="4"/>
      <c r="AE49" s="4"/>
      <c r="AF49" s="4"/>
      <c r="AG49" s="4"/>
      <c r="AJ49" s="4"/>
      <c r="AK49" s="4"/>
      <c r="AL49" s="4"/>
      <c r="BL49">
        <v>17</v>
      </c>
      <c r="BM49">
        <v>0</v>
      </c>
      <c r="BN49">
        <v>0</v>
      </c>
      <c r="BO49">
        <v>1</v>
      </c>
      <c r="BP49">
        <v>0</v>
      </c>
      <c r="BR49" s="32"/>
      <c r="BS49" s="32"/>
      <c r="BT49" s="32"/>
      <c r="BU49" s="32"/>
      <c r="BV49" s="32"/>
      <c r="BW49" s="32"/>
      <c r="BX49" s="32"/>
      <c r="BY49" s="32"/>
      <c r="BZ49" s="32"/>
      <c r="CA49" s="32"/>
      <c r="CB49" s="32"/>
      <c r="CC49" s="32"/>
      <c r="CD49" s="32"/>
      <c r="CE49" s="32"/>
    </row>
    <row r="50" spans="1:83" x14ac:dyDescent="0.3">
      <c r="A50" s="15"/>
      <c r="B50" s="15"/>
      <c r="C50" s="29"/>
      <c r="D50" s="26"/>
      <c r="E50" s="26"/>
      <c r="F50" s="26"/>
      <c r="G50" s="26"/>
      <c r="H50" s="26"/>
      <c r="I50" s="26"/>
      <c r="J50" s="27"/>
      <c r="K50" s="26"/>
      <c r="N50" s="2"/>
      <c r="O50" s="2"/>
      <c r="P50" s="2"/>
      <c r="Q50" s="2"/>
      <c r="R50" s="2"/>
      <c r="S50" s="2"/>
      <c r="T50" s="2"/>
      <c r="U50" s="2"/>
      <c r="V50" s="2"/>
      <c r="W50" s="2"/>
      <c r="X50" s="2"/>
      <c r="Y50" s="2"/>
      <c r="Z50" s="4"/>
      <c r="AA50" s="4"/>
      <c r="AB50" s="4"/>
      <c r="AC50" s="4"/>
      <c r="AD50" s="4"/>
      <c r="AE50" s="4"/>
      <c r="AF50" s="4"/>
      <c r="AG50" s="4"/>
      <c r="AJ50" s="4"/>
      <c r="AK50" s="4"/>
      <c r="AL50" s="4"/>
      <c r="BL50">
        <v>35</v>
      </c>
      <c r="BM50">
        <v>0</v>
      </c>
      <c r="BN50">
        <v>0</v>
      </c>
      <c r="BO50">
        <v>1</v>
      </c>
      <c r="BP50">
        <v>0</v>
      </c>
    </row>
    <row r="51" spans="1:83" x14ac:dyDescent="0.3">
      <c r="A51" s="26"/>
      <c r="B51" s="26"/>
      <c r="C51" s="26"/>
      <c r="D51" s="26"/>
      <c r="E51" s="26"/>
      <c r="F51" s="26"/>
      <c r="G51" s="26"/>
      <c r="H51" s="26"/>
      <c r="I51" s="26"/>
      <c r="J51" s="27"/>
      <c r="K51" s="26"/>
      <c r="N51" s="2"/>
      <c r="O51" s="2"/>
      <c r="P51" s="2"/>
      <c r="Q51" s="2"/>
      <c r="R51" s="2"/>
      <c r="S51" s="2"/>
      <c r="T51" s="2"/>
      <c r="U51" s="2"/>
      <c r="V51" s="2"/>
      <c r="W51" s="2"/>
      <c r="X51" s="2"/>
      <c r="Y51" s="2"/>
      <c r="Z51" s="4"/>
      <c r="AA51" s="4"/>
      <c r="AB51" s="4"/>
      <c r="AC51" s="4"/>
      <c r="AD51" s="4"/>
      <c r="AE51" s="4"/>
      <c r="AF51" s="4"/>
      <c r="AG51" s="4"/>
      <c r="AH51" s="4"/>
      <c r="AI51" s="4"/>
      <c r="AJ51" s="4"/>
      <c r="AK51" s="4"/>
      <c r="AL51" s="4"/>
      <c r="BL51">
        <v>9</v>
      </c>
      <c r="BM51">
        <v>1</v>
      </c>
      <c r="BN51">
        <v>1</v>
      </c>
      <c r="BO51">
        <v>0</v>
      </c>
      <c r="BP51">
        <v>1</v>
      </c>
    </row>
    <row r="52" spans="1:83" x14ac:dyDescent="0.3">
      <c r="A52" s="26"/>
      <c r="B52" s="26"/>
      <c r="C52" s="26"/>
      <c r="D52" s="26"/>
      <c r="E52" s="26"/>
      <c r="F52" s="26"/>
      <c r="G52" s="26"/>
      <c r="H52" s="26"/>
      <c r="I52" s="26"/>
      <c r="J52" s="27"/>
      <c r="K52" s="26"/>
      <c r="N52" s="2"/>
      <c r="O52" s="2"/>
      <c r="P52" s="2"/>
      <c r="Q52" s="2"/>
      <c r="R52" s="2"/>
      <c r="S52" s="2"/>
      <c r="T52" s="2"/>
      <c r="U52" s="2"/>
      <c r="V52" s="2"/>
      <c r="W52" s="2"/>
      <c r="X52" s="2"/>
      <c r="Y52" s="2"/>
      <c r="Z52" s="4"/>
      <c r="AA52" s="4"/>
      <c r="AB52" s="4"/>
      <c r="AC52" s="4"/>
      <c r="AD52" s="4"/>
      <c r="AE52" s="4"/>
      <c r="AF52" s="4"/>
      <c r="AG52" s="4"/>
      <c r="AH52" s="4"/>
      <c r="AI52" s="4"/>
      <c r="AJ52" s="4"/>
      <c r="AK52" s="4"/>
      <c r="AL52" s="4"/>
      <c r="BL52">
        <v>14</v>
      </c>
      <c r="BM52">
        <v>1</v>
      </c>
      <c r="BN52">
        <v>1</v>
      </c>
      <c r="BO52">
        <v>0</v>
      </c>
      <c r="BP52">
        <v>1</v>
      </c>
    </row>
    <row r="53" spans="1:83" x14ac:dyDescent="0.3">
      <c r="A53" s="26"/>
      <c r="B53" s="26"/>
      <c r="C53" s="26"/>
      <c r="D53" s="26"/>
      <c r="E53" s="26"/>
      <c r="F53" s="26"/>
      <c r="G53" s="26"/>
      <c r="H53" s="26"/>
      <c r="I53" s="26"/>
      <c r="J53" s="27"/>
      <c r="K53" s="26"/>
      <c r="N53" s="2"/>
      <c r="O53" s="2"/>
      <c r="P53" s="2"/>
      <c r="Q53" s="2"/>
      <c r="R53" s="2"/>
      <c r="S53" s="2"/>
      <c r="T53" s="2"/>
      <c r="U53" s="2"/>
      <c r="V53" s="2"/>
      <c r="W53" s="2"/>
      <c r="X53" s="2"/>
      <c r="Y53" s="2"/>
      <c r="Z53" s="4"/>
      <c r="AA53" s="4"/>
      <c r="AB53" s="4"/>
      <c r="AC53" s="4"/>
      <c r="AD53" s="4"/>
      <c r="AE53" s="4"/>
      <c r="AF53" s="4"/>
      <c r="AG53" s="4"/>
      <c r="AH53" s="4"/>
      <c r="AI53" s="4"/>
      <c r="AJ53" s="4"/>
      <c r="AK53" s="4"/>
      <c r="AL53" s="4"/>
      <c r="BL53">
        <v>37</v>
      </c>
      <c r="BM53">
        <v>0</v>
      </c>
      <c r="BN53">
        <v>0</v>
      </c>
      <c r="BO53">
        <v>0</v>
      </c>
      <c r="BP53">
        <v>0</v>
      </c>
    </row>
    <row r="54" spans="1:83" x14ac:dyDescent="0.3">
      <c r="A54" s="26"/>
      <c r="B54" s="26"/>
      <c r="C54" s="26"/>
      <c r="D54" s="26"/>
      <c r="E54" s="26"/>
      <c r="F54" s="26"/>
      <c r="G54" s="26"/>
      <c r="H54" s="26"/>
      <c r="I54" s="26"/>
      <c r="J54" s="27"/>
      <c r="K54" s="26"/>
      <c r="N54" s="2"/>
      <c r="O54" s="2"/>
      <c r="P54" s="2"/>
      <c r="Q54" s="2"/>
      <c r="R54" s="2"/>
      <c r="S54" s="2"/>
      <c r="T54" s="2"/>
      <c r="U54" s="2"/>
      <c r="V54" s="2"/>
      <c r="W54" s="2"/>
      <c r="X54" s="2"/>
      <c r="Y54" s="2"/>
      <c r="Z54" s="4"/>
      <c r="AA54" s="4"/>
      <c r="AB54" s="4"/>
      <c r="AC54" s="4"/>
      <c r="AD54" s="4"/>
      <c r="AE54" s="4"/>
      <c r="AF54" s="4"/>
      <c r="AG54" s="4"/>
      <c r="AH54" s="4"/>
      <c r="AI54" s="4"/>
      <c r="AJ54" s="4"/>
      <c r="AK54" s="4"/>
      <c r="AL54" s="4"/>
      <c r="BL54">
        <v>13</v>
      </c>
      <c r="BM54">
        <v>0</v>
      </c>
      <c r="BN54">
        <v>0</v>
      </c>
      <c r="BO54">
        <v>0</v>
      </c>
      <c r="BP54">
        <v>0</v>
      </c>
    </row>
    <row r="55" spans="1:83" x14ac:dyDescent="0.3">
      <c r="A55" s="26"/>
      <c r="B55" s="26"/>
      <c r="C55" s="26"/>
      <c r="D55" s="26"/>
      <c r="E55" s="26"/>
      <c r="F55" s="26"/>
      <c r="G55" s="26"/>
      <c r="H55" s="26"/>
      <c r="I55" s="26"/>
      <c r="J55" s="27"/>
      <c r="K55" s="26"/>
      <c r="N55" s="2"/>
      <c r="O55" s="2"/>
      <c r="P55" s="2"/>
      <c r="Q55" s="2"/>
      <c r="R55" s="2"/>
      <c r="S55" s="2"/>
      <c r="T55" s="2"/>
      <c r="U55" s="2"/>
      <c r="V55" s="2"/>
      <c r="W55" s="2"/>
      <c r="X55" s="2"/>
      <c r="Y55" s="2"/>
      <c r="Z55" s="4"/>
      <c r="AA55" s="4"/>
      <c r="AB55" s="4"/>
      <c r="AC55" s="4"/>
      <c r="AD55" s="4"/>
      <c r="AE55" s="4"/>
      <c r="AF55" s="4"/>
      <c r="AG55" s="4"/>
      <c r="AH55" s="4"/>
      <c r="AI55" s="4"/>
      <c r="AJ55" s="4"/>
      <c r="AK55" s="4"/>
      <c r="AL55" s="4"/>
      <c r="BL55">
        <v>57</v>
      </c>
      <c r="BM55">
        <v>0</v>
      </c>
      <c r="BN55">
        <v>0</v>
      </c>
      <c r="BO55">
        <v>0</v>
      </c>
      <c r="BP55">
        <v>0</v>
      </c>
    </row>
    <row r="56" spans="1:83" x14ac:dyDescent="0.3">
      <c r="A56" s="26"/>
      <c r="B56" s="26"/>
      <c r="C56" s="26"/>
      <c r="D56" s="26"/>
      <c r="E56" s="26"/>
      <c r="F56" s="26"/>
      <c r="G56" s="26"/>
      <c r="H56" s="26"/>
      <c r="I56" s="26"/>
      <c r="J56" s="27"/>
      <c r="K56" s="26"/>
      <c r="N56" s="2"/>
      <c r="O56" s="2"/>
      <c r="P56" s="2"/>
      <c r="Q56" s="2"/>
      <c r="R56" s="2"/>
      <c r="S56" s="2"/>
      <c r="T56" s="2"/>
      <c r="U56" s="2"/>
      <c r="V56" s="2"/>
      <c r="W56" s="2"/>
      <c r="X56" s="2"/>
      <c r="Y56" s="2"/>
      <c r="Z56" s="4"/>
      <c r="AA56" s="4"/>
      <c r="AB56" s="4"/>
      <c r="AC56" s="4"/>
      <c r="AD56" s="4"/>
      <c r="AE56" s="4"/>
      <c r="AF56" s="4"/>
      <c r="AG56" s="4"/>
      <c r="AH56" s="4"/>
      <c r="AI56" s="4"/>
      <c r="AJ56" s="4"/>
      <c r="AK56" s="4"/>
      <c r="AL56" s="4"/>
      <c r="BL56">
        <v>41</v>
      </c>
      <c r="BM56">
        <v>0</v>
      </c>
      <c r="BN56">
        <v>0</v>
      </c>
      <c r="BO56">
        <v>0</v>
      </c>
      <c r="BP56">
        <v>0</v>
      </c>
    </row>
    <row r="57" spans="1:83" x14ac:dyDescent="0.3">
      <c r="A57" s="26"/>
      <c r="B57" s="26"/>
      <c r="C57" s="26"/>
      <c r="D57" s="26"/>
      <c r="E57" s="26"/>
      <c r="F57" s="26"/>
      <c r="G57" s="26"/>
      <c r="H57" s="26"/>
      <c r="I57" s="26"/>
      <c r="J57" s="26"/>
      <c r="K57" s="26"/>
      <c r="N57" s="2"/>
      <c r="O57" s="2"/>
      <c r="P57" s="2"/>
      <c r="Q57" s="2"/>
      <c r="R57" s="2"/>
      <c r="S57" s="2"/>
      <c r="T57" s="2"/>
      <c r="U57" s="2"/>
      <c r="V57" s="2"/>
      <c r="W57" s="2"/>
      <c r="X57" s="2"/>
      <c r="Y57" s="2"/>
      <c r="Z57" s="4"/>
      <c r="AA57" s="4"/>
      <c r="AB57" s="4"/>
      <c r="AC57" s="4"/>
      <c r="AD57" s="4"/>
      <c r="AE57" s="4"/>
      <c r="AF57" s="4"/>
      <c r="AG57" s="4"/>
      <c r="AH57" s="4"/>
      <c r="AI57" s="4"/>
      <c r="AJ57" s="4"/>
      <c r="AK57" s="4"/>
      <c r="AL57" s="4"/>
      <c r="BL57">
        <v>24</v>
      </c>
      <c r="BM57">
        <v>1</v>
      </c>
      <c r="BN57">
        <v>1</v>
      </c>
      <c r="BO57">
        <v>1</v>
      </c>
      <c r="BP57">
        <v>1</v>
      </c>
    </row>
    <row r="58" spans="1:83" x14ac:dyDescent="0.3">
      <c r="A58" s="26"/>
      <c r="B58" s="26"/>
      <c r="C58" s="26"/>
      <c r="D58" s="26"/>
      <c r="E58" s="26"/>
      <c r="F58" s="26"/>
      <c r="G58" s="26"/>
      <c r="H58" s="26"/>
      <c r="I58" s="26"/>
      <c r="J58" s="26"/>
      <c r="K58" s="26"/>
      <c r="N58" s="2"/>
      <c r="O58" s="2"/>
      <c r="P58" s="2"/>
      <c r="Q58" s="2"/>
      <c r="R58" s="2"/>
      <c r="S58" s="2"/>
      <c r="T58" s="2"/>
      <c r="U58" s="2"/>
      <c r="V58" s="2"/>
      <c r="W58" s="2"/>
      <c r="X58" s="2"/>
      <c r="Y58" s="2"/>
      <c r="Z58" s="4"/>
      <c r="AA58" s="4"/>
      <c r="AB58" s="4"/>
      <c r="AC58" s="4"/>
      <c r="AD58" s="4"/>
      <c r="AE58" s="4"/>
      <c r="AF58" s="4"/>
      <c r="AG58" s="4"/>
      <c r="AH58" s="4"/>
      <c r="AI58" s="4"/>
      <c r="AJ58" s="4"/>
      <c r="AK58" s="4"/>
      <c r="AL58" s="4"/>
      <c r="BL58">
        <v>28</v>
      </c>
      <c r="BM58">
        <v>0</v>
      </c>
      <c r="BN58">
        <v>0</v>
      </c>
      <c r="BO58">
        <v>0</v>
      </c>
      <c r="BP58">
        <v>0</v>
      </c>
    </row>
    <row r="59" spans="1:83" x14ac:dyDescent="0.3">
      <c r="A59" s="26"/>
      <c r="B59" s="26"/>
      <c r="C59" s="26"/>
      <c r="D59" s="26"/>
      <c r="E59" s="26"/>
      <c r="F59" s="26"/>
      <c r="G59" s="26"/>
      <c r="H59" s="26"/>
      <c r="I59" s="26"/>
      <c r="J59" s="26"/>
      <c r="K59" s="26"/>
      <c r="N59" s="2"/>
      <c r="O59" s="2"/>
      <c r="P59" s="2"/>
      <c r="Q59" s="2"/>
      <c r="R59" s="2"/>
      <c r="S59" s="2"/>
      <c r="T59" s="2"/>
      <c r="U59" s="2"/>
      <c r="V59" s="2"/>
      <c r="W59" s="2"/>
      <c r="X59" s="2"/>
      <c r="Y59" s="2"/>
      <c r="Z59" s="4"/>
      <c r="AA59" s="4"/>
      <c r="AB59" s="4"/>
      <c r="AC59" s="4"/>
      <c r="AD59" s="4"/>
      <c r="AE59" s="4"/>
      <c r="AF59" s="4"/>
      <c r="AG59" s="4"/>
      <c r="AH59" s="4"/>
      <c r="AI59" s="4"/>
      <c r="AJ59" s="4"/>
      <c r="AK59" s="4"/>
      <c r="AL59" s="4"/>
      <c r="BL59">
        <v>25</v>
      </c>
      <c r="BM59">
        <v>0</v>
      </c>
      <c r="BN59">
        <v>0</v>
      </c>
      <c r="BO59">
        <v>1</v>
      </c>
      <c r="BP59">
        <v>0</v>
      </c>
    </row>
    <row r="60" spans="1:83" x14ac:dyDescent="0.3">
      <c r="A60" s="26"/>
      <c r="B60" s="26"/>
      <c r="C60" s="26"/>
      <c r="D60" s="26"/>
      <c r="E60" s="26"/>
      <c r="F60" s="26"/>
      <c r="G60" s="26"/>
      <c r="H60" s="26"/>
      <c r="I60" s="26"/>
      <c r="J60" s="26"/>
      <c r="K60" s="26"/>
      <c r="N60" s="2"/>
      <c r="O60" s="2"/>
      <c r="P60" s="2"/>
      <c r="Q60" s="2"/>
      <c r="R60" s="2"/>
      <c r="S60" s="2"/>
      <c r="T60" s="2"/>
      <c r="U60" s="2"/>
      <c r="V60" s="2"/>
      <c r="W60" s="2"/>
      <c r="X60" s="2"/>
      <c r="Y60" s="2"/>
      <c r="Z60" s="4"/>
      <c r="AA60" s="4"/>
      <c r="AB60" s="4"/>
      <c r="AC60" s="4"/>
      <c r="AD60" s="4"/>
      <c r="AE60" s="4"/>
      <c r="AF60" s="4"/>
      <c r="AG60" s="4"/>
      <c r="AH60" s="4"/>
      <c r="AI60" s="4"/>
      <c r="AJ60" s="4"/>
      <c r="AK60" s="4"/>
      <c r="AL60" s="4"/>
      <c r="BL60">
        <v>44</v>
      </c>
      <c r="BM60">
        <v>0</v>
      </c>
      <c r="BN60">
        <v>0</v>
      </c>
      <c r="BO60">
        <v>1</v>
      </c>
      <c r="BP60">
        <v>0</v>
      </c>
    </row>
    <row r="61" spans="1:83" x14ac:dyDescent="0.3">
      <c r="A61" s="26"/>
      <c r="B61" s="26"/>
      <c r="C61" s="26"/>
      <c r="D61" s="26"/>
      <c r="E61" s="26"/>
      <c r="F61" s="26"/>
      <c r="G61" s="26"/>
      <c r="H61" s="26"/>
      <c r="I61" s="26"/>
      <c r="J61" s="26"/>
      <c r="K61" s="26"/>
      <c r="N61" s="2"/>
      <c r="O61" s="2"/>
      <c r="P61" s="2"/>
      <c r="Q61" s="2"/>
      <c r="R61" s="2"/>
      <c r="S61" s="2"/>
      <c r="T61" s="2"/>
      <c r="U61" s="2"/>
      <c r="V61" s="2"/>
      <c r="W61" s="2"/>
      <c r="X61" s="2"/>
      <c r="Y61" s="2"/>
      <c r="Z61" s="4"/>
      <c r="AA61" s="4"/>
      <c r="AB61" s="4"/>
      <c r="AC61" s="4"/>
      <c r="AD61" s="4"/>
      <c r="AE61" s="4"/>
      <c r="AF61" s="4"/>
      <c r="AG61" s="4"/>
      <c r="AH61" s="4"/>
      <c r="AI61" s="4"/>
      <c r="AJ61" s="4"/>
      <c r="AK61" s="4"/>
      <c r="AL61" s="4"/>
      <c r="BL61">
        <v>10</v>
      </c>
      <c r="BM61">
        <v>1</v>
      </c>
      <c r="BN61">
        <v>1</v>
      </c>
      <c r="BO61">
        <v>1</v>
      </c>
      <c r="BP61">
        <v>1</v>
      </c>
    </row>
    <row r="62" spans="1:83" x14ac:dyDescent="0.3">
      <c r="A62" s="26"/>
      <c r="B62" s="26"/>
      <c r="C62" s="26"/>
      <c r="D62" s="26"/>
      <c r="E62" s="26"/>
      <c r="F62" s="26"/>
      <c r="G62" s="26"/>
      <c r="H62" s="26"/>
      <c r="I62" s="26"/>
      <c r="J62" s="26"/>
      <c r="K62" s="26"/>
      <c r="N62" s="2"/>
      <c r="O62" s="2"/>
      <c r="P62" s="2"/>
      <c r="Q62" s="2"/>
      <c r="R62" s="2"/>
      <c r="S62" s="2"/>
      <c r="T62" s="2"/>
      <c r="U62" s="2"/>
      <c r="V62" s="2"/>
      <c r="W62" s="2"/>
      <c r="X62" s="2"/>
      <c r="Y62" s="2"/>
      <c r="Z62" s="4"/>
      <c r="AA62" s="4"/>
      <c r="AB62" s="4"/>
      <c r="AC62" s="4"/>
      <c r="AD62" s="4"/>
      <c r="AE62" s="4"/>
      <c r="AF62" s="4"/>
      <c r="AG62" s="4"/>
      <c r="AH62" s="4"/>
      <c r="AI62" s="4"/>
      <c r="AJ62" s="4"/>
      <c r="AK62" s="4"/>
      <c r="AL62" s="4"/>
      <c r="BL62">
        <v>13</v>
      </c>
      <c r="BM62">
        <v>1</v>
      </c>
      <c r="BN62">
        <v>1</v>
      </c>
      <c r="BO62">
        <v>1</v>
      </c>
      <c r="BP62">
        <v>1</v>
      </c>
    </row>
    <row r="63" spans="1:83" x14ac:dyDescent="0.3">
      <c r="C63" s="26"/>
      <c r="D63" s="26"/>
      <c r="E63" s="26"/>
      <c r="F63" s="26"/>
      <c r="G63" s="26"/>
      <c r="H63" s="26"/>
      <c r="I63" s="26"/>
      <c r="J63" s="26"/>
      <c r="K63" s="26"/>
      <c r="N63" s="2"/>
      <c r="O63" s="2"/>
      <c r="P63" s="2"/>
      <c r="Q63" s="2"/>
      <c r="R63" s="2"/>
      <c r="S63" s="2"/>
      <c r="T63" s="2"/>
      <c r="U63" s="2"/>
      <c r="V63" s="2"/>
      <c r="W63" s="2"/>
      <c r="X63" s="2"/>
      <c r="Y63" s="2"/>
      <c r="Z63" s="4"/>
      <c r="AA63" s="4"/>
      <c r="AB63" s="4"/>
      <c r="AC63" s="4"/>
      <c r="AD63" s="4"/>
      <c r="AE63" s="4"/>
      <c r="AF63" s="4"/>
      <c r="AG63" s="4"/>
      <c r="AH63" s="4"/>
      <c r="AI63" s="4"/>
      <c r="AJ63" s="4"/>
      <c r="AK63" s="4"/>
      <c r="AL63" s="4"/>
      <c r="BL63">
        <v>65</v>
      </c>
      <c r="BM63">
        <v>1</v>
      </c>
      <c r="BN63">
        <v>1</v>
      </c>
      <c r="BO63">
        <v>0</v>
      </c>
      <c r="BP63">
        <v>1</v>
      </c>
    </row>
    <row r="64" spans="1:83" x14ac:dyDescent="0.3">
      <c r="C64" s="26"/>
      <c r="D64" s="26"/>
      <c r="E64" s="26"/>
      <c r="F64" s="26"/>
      <c r="G64" s="26"/>
      <c r="H64" s="26"/>
      <c r="I64" s="26"/>
      <c r="J64" s="26"/>
      <c r="K64" s="26"/>
      <c r="N64" s="4"/>
      <c r="O64" s="4"/>
      <c r="P64" s="4"/>
      <c r="Q64" s="4"/>
      <c r="R64" s="4"/>
      <c r="S64" s="4"/>
      <c r="T64" s="4"/>
      <c r="U64" s="4"/>
      <c r="V64" s="4"/>
      <c r="W64" s="4"/>
      <c r="X64" s="4"/>
      <c r="Y64" s="4"/>
      <c r="Z64" s="4"/>
      <c r="AA64" s="4"/>
      <c r="AB64" s="4"/>
      <c r="AC64" s="4"/>
      <c r="AD64" s="4"/>
      <c r="BL64">
        <v>53</v>
      </c>
      <c r="BM64">
        <v>0</v>
      </c>
      <c r="BN64">
        <v>0</v>
      </c>
      <c r="BO64">
        <v>0</v>
      </c>
      <c r="BP64">
        <v>0</v>
      </c>
    </row>
    <row r="65" spans="1:68" x14ac:dyDescent="0.3">
      <c r="C65" s="26"/>
      <c r="D65" s="26"/>
      <c r="E65" s="26"/>
      <c r="F65" s="26"/>
      <c r="G65" s="26"/>
      <c r="H65" s="26"/>
      <c r="I65" s="26"/>
      <c r="J65" s="26"/>
      <c r="K65" s="26"/>
      <c r="N65" s="4"/>
      <c r="O65" s="4"/>
      <c r="P65" s="4"/>
      <c r="Q65" s="4"/>
      <c r="R65" s="4"/>
      <c r="S65" s="4"/>
      <c r="T65" s="4"/>
      <c r="U65" s="4"/>
      <c r="V65" s="4"/>
      <c r="W65" s="4"/>
      <c r="X65" s="4"/>
      <c r="Y65" s="4"/>
      <c r="Z65" s="4"/>
      <c r="AA65" s="4"/>
      <c r="AB65" s="4"/>
      <c r="AC65" s="4"/>
      <c r="AD65" s="4"/>
      <c r="BL65">
        <v>54</v>
      </c>
      <c r="BM65">
        <v>0</v>
      </c>
      <c r="BN65">
        <v>0</v>
      </c>
      <c r="BO65">
        <v>1</v>
      </c>
      <c r="BP65">
        <v>0</v>
      </c>
    </row>
    <row r="66" spans="1:68" x14ac:dyDescent="0.3">
      <c r="A66" s="26"/>
      <c r="B66" s="26"/>
      <c r="C66" s="26"/>
      <c r="D66" s="26"/>
      <c r="E66" s="26"/>
      <c r="F66" s="26"/>
      <c r="G66" s="26"/>
      <c r="H66" s="26"/>
      <c r="I66" s="26"/>
      <c r="J66" s="26"/>
      <c r="K66" s="26"/>
      <c r="N66" s="4"/>
      <c r="O66" s="4"/>
      <c r="P66" s="4"/>
      <c r="Q66" s="4"/>
      <c r="R66" s="4"/>
      <c r="S66" s="4"/>
      <c r="T66" s="4"/>
      <c r="U66" s="4"/>
      <c r="V66" s="4"/>
      <c r="W66" s="4"/>
      <c r="X66" s="4"/>
      <c r="Y66" s="4"/>
      <c r="Z66" s="4"/>
      <c r="AA66" s="4"/>
      <c r="AB66" s="4"/>
      <c r="AC66" s="4"/>
      <c r="AD66" s="4"/>
      <c r="BL66">
        <v>59</v>
      </c>
      <c r="BM66">
        <v>0</v>
      </c>
      <c r="BN66">
        <v>0</v>
      </c>
      <c r="BO66">
        <v>1</v>
      </c>
      <c r="BP66">
        <v>0</v>
      </c>
    </row>
    <row r="67" spans="1:68" x14ac:dyDescent="0.3">
      <c r="A67" s="26"/>
      <c r="B67" s="26"/>
      <c r="C67" s="26"/>
      <c r="D67" s="26"/>
      <c r="E67" s="26"/>
      <c r="F67" s="26"/>
      <c r="G67" s="26"/>
      <c r="H67" s="26"/>
      <c r="I67" s="26"/>
      <c r="J67" s="26"/>
      <c r="K67" s="26"/>
      <c r="N67" s="4"/>
      <c r="O67" s="4"/>
      <c r="P67" s="4"/>
      <c r="Q67" s="4"/>
      <c r="R67" s="4"/>
      <c r="S67" s="4"/>
      <c r="T67" s="4"/>
      <c r="U67" s="4"/>
      <c r="V67" s="4"/>
      <c r="W67" s="4"/>
      <c r="X67" s="4"/>
      <c r="Y67" s="4"/>
      <c r="Z67" s="4"/>
      <c r="AA67" s="4"/>
      <c r="AB67" s="4"/>
      <c r="AC67" s="4"/>
      <c r="AD67" s="4"/>
      <c r="BL67">
        <v>47</v>
      </c>
      <c r="BM67">
        <v>1</v>
      </c>
      <c r="BN67">
        <v>1</v>
      </c>
      <c r="BO67">
        <v>1</v>
      </c>
      <c r="BP67">
        <v>1</v>
      </c>
    </row>
    <row r="68" spans="1:68" x14ac:dyDescent="0.3">
      <c r="A68" s="26"/>
      <c r="B68" s="26"/>
      <c r="C68" s="26"/>
      <c r="D68" s="26"/>
      <c r="E68" s="26"/>
      <c r="F68" s="26"/>
      <c r="G68" s="26"/>
      <c r="H68" s="26"/>
      <c r="I68" s="26"/>
      <c r="J68" s="26"/>
      <c r="K68" s="26"/>
      <c r="N68" s="4"/>
      <c r="O68" s="4"/>
      <c r="P68" s="4"/>
      <c r="Q68" s="4"/>
      <c r="R68" s="4"/>
      <c r="S68" s="4"/>
      <c r="T68" s="4"/>
      <c r="U68" s="4"/>
      <c r="V68" s="4"/>
      <c r="W68" s="4"/>
      <c r="X68" s="4"/>
      <c r="Y68" s="4"/>
      <c r="Z68" s="4"/>
      <c r="AA68" s="4"/>
      <c r="AB68" s="4"/>
      <c r="AC68" s="4"/>
      <c r="AD68" s="4"/>
      <c r="BL68">
        <v>28</v>
      </c>
      <c r="BM68">
        <v>1</v>
      </c>
      <c r="BN68">
        <v>1</v>
      </c>
      <c r="BO68">
        <v>1</v>
      </c>
      <c r="BP68">
        <v>1</v>
      </c>
    </row>
    <row r="69" spans="1:68" x14ac:dyDescent="0.3">
      <c r="A69" s="26"/>
      <c r="B69" s="26"/>
      <c r="C69" s="26"/>
      <c r="D69" s="26"/>
      <c r="E69" s="26"/>
      <c r="F69" s="26"/>
      <c r="G69" s="26"/>
      <c r="H69" s="26"/>
      <c r="I69" s="26"/>
      <c r="J69" s="26"/>
      <c r="K69" s="26"/>
      <c r="N69" s="4"/>
      <c r="O69" s="4"/>
      <c r="P69" s="4"/>
      <c r="Q69" s="4"/>
      <c r="R69" s="4"/>
      <c r="S69" s="4"/>
      <c r="T69" s="4"/>
      <c r="U69" s="4"/>
      <c r="V69" s="4"/>
      <c r="W69" s="4"/>
      <c r="X69" s="4"/>
      <c r="Y69" s="4"/>
      <c r="Z69" s="4"/>
      <c r="AA69" s="4"/>
      <c r="AB69" s="4"/>
      <c r="AC69" s="4"/>
      <c r="AD69" s="4"/>
      <c r="BL69">
        <v>38</v>
      </c>
      <c r="BM69">
        <v>1</v>
      </c>
      <c r="BN69">
        <v>1</v>
      </c>
      <c r="BO69">
        <v>0</v>
      </c>
      <c r="BP69">
        <v>1</v>
      </c>
    </row>
    <row r="70" spans="1:68" x14ac:dyDescent="0.3">
      <c r="A70" s="26"/>
      <c r="B70" s="26"/>
      <c r="C70" s="26"/>
      <c r="D70" s="26"/>
      <c r="E70" s="26"/>
      <c r="F70" s="26"/>
      <c r="G70" s="26"/>
      <c r="H70" s="26"/>
      <c r="I70" s="26"/>
      <c r="J70" s="26"/>
      <c r="K70" s="26"/>
      <c r="N70" s="4"/>
      <c r="O70" s="4"/>
      <c r="P70" s="4"/>
      <c r="Q70" s="4"/>
      <c r="R70" s="4"/>
      <c r="S70" s="4"/>
      <c r="T70" s="4"/>
      <c r="U70" s="4"/>
      <c r="V70" s="4"/>
      <c r="W70" s="4"/>
      <c r="X70" s="4"/>
      <c r="Y70" s="4"/>
      <c r="Z70" s="4"/>
      <c r="AA70" s="4"/>
      <c r="AB70" s="4"/>
      <c r="AC70" s="4"/>
      <c r="AD70" s="4"/>
      <c r="BL70">
        <v>11</v>
      </c>
      <c r="BM70">
        <v>1</v>
      </c>
      <c r="BN70">
        <v>1</v>
      </c>
      <c r="BO70">
        <v>0</v>
      </c>
      <c r="BP70">
        <v>1</v>
      </c>
    </row>
    <row r="71" spans="1:68" x14ac:dyDescent="0.3">
      <c r="A71" s="26"/>
      <c r="B71" s="26"/>
      <c r="C71" s="26"/>
      <c r="D71" s="26"/>
      <c r="E71" s="26"/>
      <c r="F71" s="26"/>
      <c r="G71" s="26"/>
      <c r="H71" s="26"/>
      <c r="I71" s="26"/>
      <c r="J71" s="26"/>
      <c r="K71" s="26"/>
      <c r="N71" s="4"/>
      <c r="O71" s="4"/>
      <c r="P71" s="4"/>
      <c r="Q71" s="4"/>
      <c r="R71" s="4"/>
      <c r="S71" s="4"/>
      <c r="T71" s="4"/>
      <c r="U71" s="4"/>
      <c r="V71" s="4"/>
      <c r="W71" s="4"/>
      <c r="X71" s="4"/>
      <c r="Y71" s="4"/>
      <c r="Z71" s="4"/>
      <c r="AA71" s="4"/>
      <c r="AB71" s="4"/>
      <c r="AC71" s="4"/>
      <c r="AD71" s="4"/>
      <c r="BL71">
        <v>65</v>
      </c>
      <c r="BM71">
        <v>0</v>
      </c>
      <c r="BN71">
        <v>0</v>
      </c>
      <c r="BO71">
        <v>0</v>
      </c>
      <c r="BP71">
        <v>0</v>
      </c>
    </row>
    <row r="72" spans="1:68" x14ac:dyDescent="0.3">
      <c r="N72" s="4"/>
      <c r="O72" s="4"/>
      <c r="P72" s="4"/>
      <c r="Q72" s="4"/>
      <c r="R72" s="4"/>
      <c r="S72" s="4"/>
      <c r="T72" s="4"/>
      <c r="U72" s="4"/>
      <c r="V72" s="4"/>
      <c r="W72" s="4"/>
      <c r="X72" s="4"/>
      <c r="Y72" s="4"/>
      <c r="Z72" s="4"/>
      <c r="AA72" s="4"/>
      <c r="AB72" s="4"/>
      <c r="AC72" s="4"/>
      <c r="AD72" s="4"/>
      <c r="BL72">
        <v>17</v>
      </c>
      <c r="BM72">
        <v>1</v>
      </c>
      <c r="BN72">
        <v>1</v>
      </c>
      <c r="BO72">
        <v>0</v>
      </c>
      <c r="BP72">
        <v>1</v>
      </c>
    </row>
    <row r="73" spans="1:68" x14ac:dyDescent="0.3">
      <c r="N73" s="4"/>
      <c r="O73" s="4"/>
      <c r="P73" s="4"/>
      <c r="Q73" s="4"/>
      <c r="R73" s="4"/>
      <c r="S73" s="4"/>
      <c r="T73" s="4"/>
      <c r="U73" s="4"/>
      <c r="V73" s="4"/>
      <c r="W73" s="4"/>
      <c r="X73" s="4"/>
      <c r="Y73" s="4"/>
      <c r="Z73" s="4"/>
      <c r="AA73" s="4"/>
      <c r="AB73" s="4"/>
      <c r="AC73" s="4"/>
      <c r="AD73" s="4"/>
      <c r="BL73">
        <v>64</v>
      </c>
      <c r="BM73">
        <v>0</v>
      </c>
      <c r="BN73">
        <v>0</v>
      </c>
      <c r="BO73">
        <v>0</v>
      </c>
      <c r="BP73">
        <v>0</v>
      </c>
    </row>
    <row r="74" spans="1:68" x14ac:dyDescent="0.3">
      <c r="N74" s="4"/>
      <c r="O74" s="4"/>
      <c r="P74" s="4"/>
      <c r="Q74" s="4"/>
      <c r="R74" s="4"/>
      <c r="S74" s="4"/>
      <c r="T74" s="4"/>
      <c r="U74" s="4"/>
      <c r="V74" s="4"/>
      <c r="W74" s="4"/>
      <c r="X74" s="4"/>
      <c r="Y74" s="4"/>
      <c r="Z74" s="4"/>
      <c r="AA74" s="4"/>
      <c r="AB74" s="4"/>
      <c r="AC74" s="4"/>
      <c r="AD74" s="4"/>
      <c r="BL74">
        <v>45</v>
      </c>
      <c r="BM74">
        <v>1</v>
      </c>
      <c r="BN74">
        <v>1</v>
      </c>
      <c r="BO74">
        <v>1</v>
      </c>
      <c r="BP74">
        <v>1</v>
      </c>
    </row>
    <row r="75" spans="1:68" x14ac:dyDescent="0.3">
      <c r="N75" s="4"/>
      <c r="O75" s="4"/>
      <c r="P75" s="4"/>
      <c r="Q75" s="4"/>
      <c r="R75" s="4"/>
      <c r="S75" s="4"/>
      <c r="T75" s="4"/>
      <c r="U75" s="4"/>
      <c r="V75" s="4"/>
      <c r="W75" s="4"/>
      <c r="X75" s="4"/>
      <c r="Y75" s="4"/>
      <c r="Z75" s="4"/>
      <c r="AA75" s="4"/>
      <c r="AB75" s="4"/>
      <c r="AC75" s="4"/>
      <c r="AD75" s="4"/>
      <c r="BL75">
        <v>10</v>
      </c>
      <c r="BM75">
        <v>1</v>
      </c>
      <c r="BN75">
        <v>1</v>
      </c>
      <c r="BO75">
        <v>0</v>
      </c>
      <c r="BP75">
        <v>1</v>
      </c>
    </row>
    <row r="76" spans="1:68" x14ac:dyDescent="0.3">
      <c r="N76" s="4"/>
      <c r="O76" s="4"/>
      <c r="P76" s="4"/>
      <c r="Q76" s="4"/>
      <c r="R76" s="4"/>
      <c r="S76" s="4"/>
      <c r="T76" s="4"/>
      <c r="U76" s="4"/>
      <c r="V76" s="4"/>
      <c r="W76" s="4"/>
      <c r="X76" s="4"/>
      <c r="Y76" s="4"/>
      <c r="Z76" s="4"/>
      <c r="AA76" s="4"/>
      <c r="AB76" s="4"/>
      <c r="AC76" s="4"/>
      <c r="AD76" s="4"/>
      <c r="BL76">
        <v>49</v>
      </c>
      <c r="BM76">
        <v>1</v>
      </c>
      <c r="BN76">
        <v>1</v>
      </c>
      <c r="BO76">
        <v>1</v>
      </c>
      <c r="BP76">
        <v>1</v>
      </c>
    </row>
    <row r="77" spans="1:68" x14ac:dyDescent="0.3">
      <c r="N77" s="4"/>
      <c r="O77" s="4"/>
      <c r="P77" s="4"/>
      <c r="Q77" s="4"/>
      <c r="R77" s="4"/>
      <c r="S77" s="4"/>
      <c r="T77" s="4"/>
      <c r="U77" s="4"/>
      <c r="V77" s="4"/>
      <c r="W77" s="4"/>
      <c r="X77" s="4"/>
      <c r="Y77" s="4"/>
      <c r="Z77" s="4"/>
      <c r="AA77" s="4"/>
      <c r="AB77" s="4"/>
      <c r="AC77" s="4"/>
      <c r="AD77" s="4"/>
      <c r="BL77">
        <v>61</v>
      </c>
      <c r="BM77">
        <v>0</v>
      </c>
      <c r="BN77">
        <v>0</v>
      </c>
      <c r="BO77">
        <v>1</v>
      </c>
      <c r="BP77">
        <v>0</v>
      </c>
    </row>
    <row r="78" spans="1:68" x14ac:dyDescent="0.3">
      <c r="N78" s="4"/>
      <c r="O78" s="4"/>
      <c r="P78" s="4"/>
      <c r="Q78" s="4"/>
      <c r="R78" s="4"/>
      <c r="S78" s="4"/>
      <c r="T78" s="4"/>
      <c r="U78" s="4"/>
      <c r="V78" s="4"/>
      <c r="W78" s="4"/>
      <c r="X78" s="4"/>
      <c r="Y78" s="4"/>
      <c r="Z78" s="4"/>
      <c r="AA78" s="4"/>
      <c r="AB78" s="4"/>
      <c r="AC78" s="4"/>
      <c r="AD78" s="4"/>
      <c r="BL78">
        <v>61</v>
      </c>
      <c r="BM78">
        <v>1</v>
      </c>
      <c r="BN78">
        <v>1</v>
      </c>
      <c r="BO78">
        <v>1</v>
      </c>
      <c r="BP78">
        <v>1</v>
      </c>
    </row>
    <row r="79" spans="1:68" x14ac:dyDescent="0.3">
      <c r="N79" s="4"/>
      <c r="O79" s="4"/>
      <c r="P79" s="4"/>
      <c r="Q79" s="4"/>
      <c r="R79" s="4"/>
      <c r="S79" s="4"/>
      <c r="T79" s="4"/>
      <c r="U79" s="4"/>
      <c r="V79" s="4"/>
      <c r="W79" s="4"/>
      <c r="X79" s="4"/>
      <c r="Y79" s="4"/>
      <c r="Z79" s="4"/>
      <c r="AA79" s="4"/>
      <c r="AB79" s="4"/>
      <c r="AC79" s="4"/>
      <c r="AD79" s="4"/>
      <c r="BL79">
        <v>21</v>
      </c>
      <c r="BM79">
        <v>0</v>
      </c>
      <c r="BN79">
        <v>0</v>
      </c>
      <c r="BO79">
        <v>1</v>
      </c>
      <c r="BP79">
        <v>0</v>
      </c>
    </row>
    <row r="80" spans="1:68" x14ac:dyDescent="0.3">
      <c r="N80" s="4"/>
      <c r="O80" s="4"/>
      <c r="P80" s="4"/>
      <c r="Q80" s="4"/>
      <c r="R80" s="4"/>
      <c r="S80" s="4"/>
      <c r="T80" s="4"/>
      <c r="U80" s="4"/>
      <c r="V80" s="4"/>
      <c r="W80" s="4"/>
      <c r="X80" s="4"/>
      <c r="Y80" s="4"/>
      <c r="Z80" s="4"/>
      <c r="AA80" s="4"/>
      <c r="AB80" s="4"/>
      <c r="AC80" s="4"/>
      <c r="AD80" s="4"/>
      <c r="BL80">
        <v>64</v>
      </c>
      <c r="BM80">
        <v>1</v>
      </c>
      <c r="BN80">
        <v>1</v>
      </c>
      <c r="BO80">
        <v>1</v>
      </c>
      <c r="BP80">
        <v>1</v>
      </c>
    </row>
    <row r="81" spans="14:68" x14ac:dyDescent="0.3">
      <c r="N81" s="4"/>
      <c r="O81" s="4"/>
      <c r="P81" s="4"/>
      <c r="Q81" s="4"/>
      <c r="R81" s="4"/>
      <c r="S81" s="4"/>
      <c r="T81" s="4"/>
      <c r="U81" s="4"/>
      <c r="V81" s="4"/>
      <c r="W81" s="4"/>
      <c r="X81" s="4"/>
      <c r="Y81" s="4"/>
      <c r="Z81" s="4"/>
      <c r="AA81" s="4"/>
      <c r="AB81" s="4"/>
      <c r="AC81" s="4"/>
      <c r="AD81" s="4"/>
      <c r="BL81">
        <v>24</v>
      </c>
      <c r="BM81">
        <v>0</v>
      </c>
      <c r="BN81">
        <v>0</v>
      </c>
      <c r="BO81">
        <v>0</v>
      </c>
      <c r="BP81">
        <v>0</v>
      </c>
    </row>
    <row r="82" spans="14:68" x14ac:dyDescent="0.3">
      <c r="N82" s="4"/>
      <c r="O82" s="4"/>
      <c r="P82" s="4"/>
      <c r="Q82" s="4"/>
      <c r="R82" s="4"/>
      <c r="S82" s="4"/>
      <c r="T82" s="4"/>
      <c r="U82" s="4"/>
      <c r="V82" s="4"/>
      <c r="W82" s="4"/>
      <c r="X82" s="4"/>
      <c r="Y82" s="4"/>
      <c r="Z82" s="4"/>
      <c r="AA82" s="4"/>
      <c r="AB82" s="4"/>
      <c r="AC82" s="4"/>
      <c r="AD82" s="4"/>
      <c r="BL82">
        <v>62</v>
      </c>
      <c r="BM82">
        <v>1</v>
      </c>
      <c r="BN82">
        <v>1</v>
      </c>
      <c r="BO82">
        <v>0</v>
      </c>
      <c r="BP82">
        <v>1</v>
      </c>
    </row>
    <row r="83" spans="14:68" x14ac:dyDescent="0.3">
      <c r="N83" s="4"/>
      <c r="O83" s="4"/>
      <c r="P83" s="4"/>
      <c r="Q83" s="4"/>
      <c r="R83" s="4"/>
      <c r="S83" s="4"/>
      <c r="T83" s="4"/>
      <c r="U83" s="4"/>
      <c r="V83" s="4"/>
      <c r="W83" s="4"/>
      <c r="X83" s="4"/>
      <c r="Y83" s="4"/>
      <c r="Z83" s="4"/>
      <c r="AA83" s="4"/>
      <c r="AB83" s="4"/>
      <c r="AC83" s="4"/>
      <c r="AD83" s="4"/>
      <c r="BL83">
        <v>59</v>
      </c>
      <c r="BM83">
        <v>1</v>
      </c>
      <c r="BN83">
        <v>1</v>
      </c>
      <c r="BO83">
        <v>1</v>
      </c>
      <c r="BP83">
        <v>1</v>
      </c>
    </row>
    <row r="84" spans="14:68" x14ac:dyDescent="0.3">
      <c r="N84" s="4"/>
      <c r="O84" s="4"/>
      <c r="P84" s="4"/>
      <c r="Q84" s="4"/>
      <c r="R84" s="4"/>
      <c r="S84" s="4"/>
      <c r="T84" s="4"/>
      <c r="U84" s="4"/>
      <c r="V84" s="4"/>
      <c r="W84" s="4"/>
      <c r="X84" s="4"/>
      <c r="Y84" s="4"/>
      <c r="Z84" s="4"/>
      <c r="AA84" s="4"/>
      <c r="AB84" s="4"/>
      <c r="AC84" s="4"/>
      <c r="AD84" s="4"/>
      <c r="BL84">
        <v>44</v>
      </c>
      <c r="BM84">
        <v>0</v>
      </c>
      <c r="BN84">
        <v>0</v>
      </c>
      <c r="BO84">
        <v>0</v>
      </c>
      <c r="BP84">
        <v>0</v>
      </c>
    </row>
    <row r="85" spans="14:68" x14ac:dyDescent="0.3">
      <c r="N85" s="4"/>
      <c r="O85" s="4"/>
      <c r="P85" s="4"/>
      <c r="Q85" s="4"/>
      <c r="R85" s="4"/>
      <c r="S85" s="4"/>
      <c r="T85" s="4"/>
      <c r="U85" s="4"/>
      <c r="V85" s="4"/>
      <c r="W85" s="4"/>
      <c r="X85" s="4"/>
      <c r="Y85" s="4"/>
      <c r="Z85" s="4"/>
      <c r="AA85" s="4"/>
      <c r="AB85" s="4"/>
      <c r="AC85" s="4"/>
      <c r="AD85" s="4"/>
      <c r="BL85">
        <v>12</v>
      </c>
      <c r="BM85">
        <v>1</v>
      </c>
      <c r="BN85">
        <v>1</v>
      </c>
      <c r="BO85">
        <v>0</v>
      </c>
      <c r="BP85">
        <v>1</v>
      </c>
    </row>
    <row r="86" spans="14:68" x14ac:dyDescent="0.3">
      <c r="N86" s="4"/>
      <c r="O86" s="4"/>
      <c r="P86" s="4"/>
      <c r="Q86" s="4"/>
      <c r="R86" s="4"/>
      <c r="S86" s="4"/>
      <c r="T86" s="4"/>
      <c r="U86" s="4"/>
      <c r="V86" s="4"/>
      <c r="W86" s="4"/>
      <c r="X86" s="4"/>
      <c r="Y86" s="4"/>
      <c r="Z86" s="4"/>
      <c r="AA86" s="4"/>
      <c r="AB86" s="4"/>
      <c r="AC86" s="4"/>
      <c r="AD86" s="4"/>
      <c r="BL86">
        <v>29</v>
      </c>
      <c r="BM86">
        <v>1</v>
      </c>
      <c r="BN86">
        <v>1</v>
      </c>
      <c r="BO86">
        <v>1</v>
      </c>
      <c r="BP86">
        <v>1</v>
      </c>
    </row>
    <row r="87" spans="14:68" x14ac:dyDescent="0.3">
      <c r="N87" s="4"/>
      <c r="O87" s="4"/>
      <c r="P87" s="4"/>
      <c r="Q87" s="4"/>
      <c r="R87" s="4"/>
      <c r="S87" s="4"/>
      <c r="T87" s="4"/>
      <c r="U87" s="4"/>
      <c r="V87" s="4"/>
      <c r="W87" s="4"/>
      <c r="X87" s="4"/>
      <c r="Y87" s="4"/>
      <c r="Z87" s="4"/>
      <c r="AA87" s="4"/>
      <c r="AB87" s="4"/>
      <c r="AC87" s="4"/>
      <c r="AD87" s="4"/>
      <c r="BL87">
        <v>38</v>
      </c>
      <c r="BM87">
        <v>0</v>
      </c>
      <c r="BN87">
        <v>0</v>
      </c>
      <c r="BO87">
        <v>0</v>
      </c>
      <c r="BP87">
        <v>0</v>
      </c>
    </row>
    <row r="88" spans="14:68" x14ac:dyDescent="0.3">
      <c r="N88" s="4"/>
      <c r="O88" s="4"/>
      <c r="P88" s="4"/>
      <c r="Q88" s="4"/>
      <c r="R88" s="4"/>
      <c r="S88" s="4"/>
      <c r="T88" s="4"/>
      <c r="U88" s="4"/>
      <c r="V88" s="4"/>
      <c r="W88" s="4"/>
      <c r="X88" s="4"/>
      <c r="Y88" s="4"/>
      <c r="Z88" s="4"/>
      <c r="AA88" s="4"/>
      <c r="AB88" s="4"/>
      <c r="AC88" s="4"/>
      <c r="AD88" s="4"/>
      <c r="BL88">
        <v>45</v>
      </c>
      <c r="BM88">
        <v>1</v>
      </c>
      <c r="BN88">
        <v>1</v>
      </c>
      <c r="BO88">
        <v>0</v>
      </c>
      <c r="BP88">
        <v>1</v>
      </c>
    </row>
    <row r="89" spans="14:68" x14ac:dyDescent="0.3">
      <c r="N89" s="4"/>
      <c r="O89" s="4"/>
      <c r="P89" s="4"/>
      <c r="Q89" s="4"/>
      <c r="R89" s="4"/>
      <c r="S89" s="4"/>
      <c r="T89" s="4"/>
      <c r="U89" s="4"/>
      <c r="V89" s="4"/>
      <c r="W89" s="4"/>
      <c r="X89" s="4"/>
      <c r="Y89" s="4"/>
      <c r="Z89" s="4"/>
      <c r="AA89" s="4"/>
      <c r="AB89" s="4"/>
      <c r="AC89" s="4"/>
      <c r="AD89" s="4"/>
      <c r="BL89">
        <v>54</v>
      </c>
      <c r="BM89">
        <v>1</v>
      </c>
      <c r="BN89">
        <v>1</v>
      </c>
      <c r="BO89">
        <v>1</v>
      </c>
      <c r="BP89">
        <v>1</v>
      </c>
    </row>
    <row r="90" spans="14:68" x14ac:dyDescent="0.3">
      <c r="N90" s="4"/>
      <c r="O90" s="4"/>
      <c r="P90" s="4"/>
      <c r="Q90" s="4"/>
      <c r="R90" s="4"/>
      <c r="S90" s="4"/>
      <c r="T90" s="4"/>
      <c r="U90" s="4"/>
      <c r="V90" s="4"/>
      <c r="W90" s="4"/>
      <c r="X90" s="4"/>
      <c r="Y90" s="4"/>
      <c r="Z90" s="4"/>
      <c r="AA90" s="4"/>
      <c r="AB90" s="4"/>
      <c r="AC90" s="4"/>
      <c r="AD90" s="4"/>
      <c r="BL90">
        <v>50</v>
      </c>
      <c r="BM90">
        <v>1</v>
      </c>
      <c r="BN90">
        <v>1</v>
      </c>
      <c r="BO90">
        <v>1</v>
      </c>
      <c r="BP90">
        <v>1</v>
      </c>
    </row>
    <row r="91" spans="14:68" x14ac:dyDescent="0.3">
      <c r="N91" s="4"/>
      <c r="O91" s="4"/>
      <c r="P91" s="4"/>
      <c r="Q91" s="4"/>
      <c r="R91" s="4"/>
      <c r="S91" s="4"/>
      <c r="T91" s="4"/>
      <c r="U91" s="4"/>
      <c r="V91" s="4"/>
      <c r="W91" s="4"/>
      <c r="X91" s="4"/>
      <c r="Y91" s="4"/>
      <c r="Z91" s="4"/>
      <c r="AA91" s="4"/>
      <c r="AB91" s="4"/>
      <c r="AC91" s="4"/>
      <c r="AD91" s="4"/>
      <c r="BL91">
        <v>39</v>
      </c>
      <c r="BM91">
        <v>1</v>
      </c>
      <c r="BN91">
        <v>1</v>
      </c>
      <c r="BO91">
        <v>0</v>
      </c>
      <c r="BP91">
        <v>1</v>
      </c>
    </row>
    <row r="92" spans="14:68" x14ac:dyDescent="0.3">
      <c r="N92" s="4"/>
      <c r="O92" s="4"/>
      <c r="P92" s="4"/>
      <c r="Q92" s="4"/>
      <c r="R92" s="4"/>
      <c r="S92" s="4"/>
      <c r="T92" s="4"/>
      <c r="U92" s="4"/>
      <c r="V92" s="4"/>
      <c r="W92" s="4"/>
      <c r="X92" s="4"/>
      <c r="Y92" s="4"/>
      <c r="Z92" s="4"/>
      <c r="AA92" s="4"/>
      <c r="AB92" s="4"/>
      <c r="AC92" s="4"/>
      <c r="AD92" s="4"/>
      <c r="BL92">
        <v>53</v>
      </c>
      <c r="BM92">
        <v>0</v>
      </c>
      <c r="BN92">
        <v>0</v>
      </c>
      <c r="BO92">
        <v>0</v>
      </c>
      <c r="BP92">
        <v>0</v>
      </c>
    </row>
    <row r="93" spans="14:68" x14ac:dyDescent="0.3">
      <c r="N93" s="4"/>
      <c r="O93" s="4"/>
      <c r="P93" s="4"/>
      <c r="Q93" s="4"/>
      <c r="R93" s="4"/>
      <c r="S93" s="4"/>
      <c r="T93" s="4"/>
      <c r="U93" s="4"/>
      <c r="V93" s="4"/>
      <c r="W93" s="4"/>
      <c r="X93" s="4"/>
      <c r="Y93" s="4"/>
      <c r="Z93" s="4"/>
      <c r="AA93" s="4"/>
      <c r="AB93" s="4"/>
      <c r="AC93" s="4"/>
      <c r="AD93" s="4"/>
      <c r="BL93">
        <v>64</v>
      </c>
      <c r="BM93">
        <v>1</v>
      </c>
      <c r="BN93">
        <v>1</v>
      </c>
      <c r="BO93">
        <v>1</v>
      </c>
      <c r="BP93">
        <v>1</v>
      </c>
    </row>
    <row r="94" spans="14:68" x14ac:dyDescent="0.3">
      <c r="N94" s="4"/>
      <c r="O94" s="4"/>
      <c r="P94" s="4"/>
      <c r="Q94" s="4"/>
      <c r="R94" s="4"/>
      <c r="S94" s="4"/>
      <c r="T94" s="4"/>
      <c r="U94" s="4"/>
      <c r="V94" s="4"/>
      <c r="W94" s="4"/>
      <c r="X94" s="4"/>
      <c r="Y94" s="4"/>
      <c r="BL94">
        <v>60</v>
      </c>
      <c r="BM94">
        <v>1</v>
      </c>
      <c r="BN94">
        <v>1</v>
      </c>
      <c r="BO94">
        <v>1</v>
      </c>
      <c r="BP94">
        <v>1</v>
      </c>
    </row>
    <row r="95" spans="14:68" x14ac:dyDescent="0.3">
      <c r="N95" s="4"/>
      <c r="O95" s="4"/>
      <c r="P95" s="4"/>
      <c r="Q95" s="4"/>
      <c r="R95" s="4"/>
      <c r="S95" s="4"/>
      <c r="T95" s="4"/>
      <c r="U95" s="4"/>
      <c r="V95" s="4"/>
      <c r="W95" s="4"/>
      <c r="X95" s="4"/>
      <c r="Y95" s="4"/>
      <c r="BL95">
        <v>45</v>
      </c>
      <c r="BM95">
        <v>0</v>
      </c>
      <c r="BN95">
        <v>0</v>
      </c>
      <c r="BO95">
        <v>1</v>
      </c>
      <c r="BP95">
        <v>0</v>
      </c>
    </row>
    <row r="96" spans="14:68" x14ac:dyDescent="0.3">
      <c r="N96" s="4"/>
      <c r="O96" s="4"/>
      <c r="P96" s="4"/>
      <c r="Q96" s="4"/>
      <c r="R96" s="4"/>
      <c r="S96" s="4"/>
      <c r="T96" s="4"/>
      <c r="U96" s="4"/>
      <c r="V96" s="4"/>
      <c r="W96" s="4"/>
      <c r="X96" s="4"/>
      <c r="Y96" s="4"/>
      <c r="BL96">
        <v>32</v>
      </c>
      <c r="BM96">
        <v>0</v>
      </c>
      <c r="BN96">
        <v>0</v>
      </c>
      <c r="BO96">
        <v>0</v>
      </c>
      <c r="BP96">
        <v>0</v>
      </c>
    </row>
    <row r="97" spans="14:68" x14ac:dyDescent="0.3">
      <c r="N97" s="4"/>
      <c r="O97" s="4"/>
      <c r="P97" s="4"/>
      <c r="Q97" s="4"/>
      <c r="R97" s="4"/>
      <c r="S97" s="4"/>
      <c r="T97" s="4"/>
      <c r="U97" s="4"/>
      <c r="V97" s="4"/>
      <c r="W97" s="4"/>
      <c r="X97" s="4"/>
      <c r="Y97" s="4"/>
      <c r="BL97">
        <v>26</v>
      </c>
      <c r="BM97">
        <v>0</v>
      </c>
      <c r="BN97">
        <v>0</v>
      </c>
      <c r="BO97">
        <v>0</v>
      </c>
      <c r="BP97">
        <v>0</v>
      </c>
    </row>
    <row r="98" spans="14:68" x14ac:dyDescent="0.3">
      <c r="N98" s="4"/>
      <c r="O98" s="4"/>
      <c r="P98" s="4"/>
      <c r="Q98" s="4"/>
      <c r="R98" s="4"/>
      <c r="S98" s="4"/>
      <c r="T98" s="4"/>
      <c r="U98" s="4"/>
      <c r="V98" s="4"/>
      <c r="W98" s="4"/>
      <c r="X98" s="4"/>
      <c r="Y98" s="4"/>
      <c r="BL98">
        <v>58</v>
      </c>
      <c r="BM98">
        <v>1</v>
      </c>
      <c r="BN98">
        <v>1</v>
      </c>
      <c r="BO98">
        <v>1</v>
      </c>
      <c r="BP98">
        <v>1</v>
      </c>
    </row>
    <row r="99" spans="14:68" x14ac:dyDescent="0.3">
      <c r="BL99">
        <v>23</v>
      </c>
      <c r="BM99">
        <v>1</v>
      </c>
      <c r="BN99">
        <v>1</v>
      </c>
      <c r="BO99">
        <v>0</v>
      </c>
      <c r="BP99">
        <v>1</v>
      </c>
    </row>
    <row r="100" spans="14:68" x14ac:dyDescent="0.3">
      <c r="BL100">
        <v>30</v>
      </c>
      <c r="BM100">
        <v>0</v>
      </c>
      <c r="BN100">
        <v>0</v>
      </c>
      <c r="BO100">
        <v>1</v>
      </c>
      <c r="BP100">
        <v>0</v>
      </c>
    </row>
    <row r="101" spans="14:68" x14ac:dyDescent="0.3">
      <c r="BL101">
        <v>62</v>
      </c>
      <c r="BM101">
        <v>0</v>
      </c>
      <c r="BN101">
        <v>0</v>
      </c>
      <c r="BO101">
        <v>0</v>
      </c>
      <c r="BP101">
        <v>0</v>
      </c>
    </row>
    <row r="102" spans="14:68" x14ac:dyDescent="0.3">
      <c r="BL102">
        <v>34</v>
      </c>
      <c r="BM102">
        <v>0</v>
      </c>
      <c r="BN102">
        <v>0</v>
      </c>
      <c r="BO102">
        <v>0</v>
      </c>
      <c r="BP102">
        <v>0</v>
      </c>
    </row>
    <row r="103" spans="14:68" x14ac:dyDescent="0.3">
      <c r="BL103">
        <v>58</v>
      </c>
      <c r="BM103">
        <v>0</v>
      </c>
      <c r="BN103">
        <v>0</v>
      </c>
      <c r="BO103">
        <v>0</v>
      </c>
      <c r="BP103">
        <v>0</v>
      </c>
    </row>
    <row r="104" spans="14:68" x14ac:dyDescent="0.3">
      <c r="BL104">
        <v>51</v>
      </c>
      <c r="BM104">
        <v>0</v>
      </c>
      <c r="BN104">
        <v>0</v>
      </c>
      <c r="BO104">
        <v>1</v>
      </c>
      <c r="BP104">
        <v>0</v>
      </c>
    </row>
    <row r="105" spans="14:68" x14ac:dyDescent="0.3">
      <c r="BL105">
        <v>50</v>
      </c>
      <c r="BM105">
        <v>1</v>
      </c>
      <c r="BN105">
        <v>1</v>
      </c>
      <c r="BO105">
        <v>0</v>
      </c>
      <c r="BP105">
        <v>1</v>
      </c>
    </row>
    <row r="106" spans="14:68" x14ac:dyDescent="0.3">
      <c r="BL106">
        <v>9</v>
      </c>
      <c r="BM106">
        <v>0</v>
      </c>
      <c r="BN106">
        <v>0</v>
      </c>
      <c r="BO106">
        <v>0</v>
      </c>
      <c r="BP106">
        <v>0</v>
      </c>
    </row>
    <row r="107" spans="14:68" x14ac:dyDescent="0.3">
      <c r="BL107">
        <v>8</v>
      </c>
      <c r="BM107">
        <v>0</v>
      </c>
      <c r="BN107">
        <v>0</v>
      </c>
      <c r="BO107">
        <v>1</v>
      </c>
      <c r="BP107">
        <v>0</v>
      </c>
    </row>
    <row r="108" spans="14:68" x14ac:dyDescent="0.3">
      <c r="BL108">
        <v>45</v>
      </c>
      <c r="BM108">
        <v>1</v>
      </c>
      <c r="BN108">
        <v>1</v>
      </c>
      <c r="BO108">
        <v>1</v>
      </c>
      <c r="BP108">
        <v>1</v>
      </c>
    </row>
    <row r="109" spans="14:68" x14ac:dyDescent="0.3">
      <c r="BL109">
        <v>27</v>
      </c>
      <c r="BM109">
        <v>1</v>
      </c>
      <c r="BN109">
        <v>1</v>
      </c>
      <c r="BO109">
        <v>1</v>
      </c>
      <c r="BP109">
        <v>1</v>
      </c>
    </row>
    <row r="110" spans="14:68" x14ac:dyDescent="0.3">
      <c r="BL110">
        <v>31</v>
      </c>
      <c r="BM110">
        <v>1</v>
      </c>
      <c r="BN110">
        <v>1</v>
      </c>
      <c r="BO110">
        <v>1</v>
      </c>
      <c r="BP110">
        <v>1</v>
      </c>
    </row>
    <row r="111" spans="14:68" x14ac:dyDescent="0.3">
      <c r="BL111">
        <v>44</v>
      </c>
      <c r="BM111">
        <v>0</v>
      </c>
      <c r="BN111">
        <v>0</v>
      </c>
      <c r="BO111">
        <v>0</v>
      </c>
      <c r="BP111">
        <v>0</v>
      </c>
    </row>
    <row r="112" spans="14:68" x14ac:dyDescent="0.3">
      <c r="BL112">
        <v>39</v>
      </c>
      <c r="BM112">
        <v>1</v>
      </c>
      <c r="BN112">
        <v>1</v>
      </c>
      <c r="BO112">
        <v>0</v>
      </c>
      <c r="BP112">
        <v>1</v>
      </c>
    </row>
    <row r="113" spans="64:68" x14ac:dyDescent="0.3">
      <c r="BL113">
        <v>9</v>
      </c>
      <c r="BM113">
        <v>1</v>
      </c>
      <c r="BN113">
        <v>1</v>
      </c>
      <c r="BO113">
        <v>0</v>
      </c>
      <c r="BP113">
        <v>1</v>
      </c>
    </row>
    <row r="114" spans="64:68" x14ac:dyDescent="0.3">
      <c r="BL114">
        <v>51</v>
      </c>
      <c r="BM114">
        <v>1</v>
      </c>
      <c r="BN114">
        <v>1</v>
      </c>
      <c r="BO114">
        <v>0</v>
      </c>
      <c r="BP114">
        <v>1</v>
      </c>
    </row>
    <row r="115" spans="64:68" x14ac:dyDescent="0.3">
      <c r="BL115">
        <v>24</v>
      </c>
      <c r="BM115">
        <v>0</v>
      </c>
      <c r="BN115">
        <v>0</v>
      </c>
      <c r="BO115">
        <v>0</v>
      </c>
      <c r="BP115">
        <v>0</v>
      </c>
    </row>
    <row r="116" spans="64:68" x14ac:dyDescent="0.3">
      <c r="BL116">
        <v>46</v>
      </c>
      <c r="BM116">
        <v>1</v>
      </c>
      <c r="BN116">
        <v>1</v>
      </c>
      <c r="BO116">
        <v>0</v>
      </c>
      <c r="BP116">
        <v>1</v>
      </c>
    </row>
    <row r="117" spans="64:68" x14ac:dyDescent="0.3">
      <c r="BL117">
        <v>39</v>
      </c>
      <c r="BM117">
        <v>1</v>
      </c>
      <c r="BN117">
        <v>1</v>
      </c>
      <c r="BO117">
        <v>0</v>
      </c>
      <c r="BP117">
        <v>1</v>
      </c>
    </row>
    <row r="118" spans="64:68" x14ac:dyDescent="0.3">
      <c r="BL118">
        <v>14</v>
      </c>
      <c r="BM118">
        <v>1</v>
      </c>
      <c r="BN118">
        <v>1</v>
      </c>
      <c r="BO118">
        <v>0</v>
      </c>
      <c r="BP118">
        <v>1</v>
      </c>
    </row>
    <row r="119" spans="64:68" x14ac:dyDescent="0.3">
      <c r="BL119">
        <v>42</v>
      </c>
      <c r="BM119">
        <v>1</v>
      </c>
      <c r="BN119">
        <v>1</v>
      </c>
      <c r="BO119">
        <v>0</v>
      </c>
      <c r="BP119">
        <v>1</v>
      </c>
    </row>
    <row r="120" spans="64:68" x14ac:dyDescent="0.3">
      <c r="BL120">
        <v>37</v>
      </c>
      <c r="BM120">
        <v>1</v>
      </c>
      <c r="BN120">
        <v>1</v>
      </c>
      <c r="BO120">
        <v>0</v>
      </c>
      <c r="BP120">
        <v>1</v>
      </c>
    </row>
    <row r="121" spans="64:68" x14ac:dyDescent="0.3">
      <c r="BL121">
        <v>31</v>
      </c>
      <c r="BM121">
        <v>1</v>
      </c>
      <c r="BN121">
        <v>1</v>
      </c>
      <c r="BO121">
        <v>0</v>
      </c>
      <c r="BP121">
        <v>1</v>
      </c>
    </row>
    <row r="122" spans="64:68" x14ac:dyDescent="0.3">
      <c r="BL122">
        <v>57</v>
      </c>
      <c r="BM122">
        <v>0</v>
      </c>
      <c r="BN122">
        <v>0</v>
      </c>
      <c r="BO122">
        <v>0</v>
      </c>
      <c r="BP122">
        <v>0</v>
      </c>
    </row>
    <row r="123" spans="64:68" x14ac:dyDescent="0.3">
      <c r="BL123">
        <v>30</v>
      </c>
      <c r="BM123">
        <v>0</v>
      </c>
      <c r="BN123">
        <v>0</v>
      </c>
      <c r="BO123">
        <v>1</v>
      </c>
      <c r="BP123">
        <v>0</v>
      </c>
    </row>
    <row r="124" spans="64:68" x14ac:dyDescent="0.3">
      <c r="BL124">
        <v>57</v>
      </c>
      <c r="BM124">
        <v>1</v>
      </c>
      <c r="BN124">
        <v>1</v>
      </c>
      <c r="BO124">
        <v>1</v>
      </c>
      <c r="BP124">
        <v>1</v>
      </c>
    </row>
    <row r="125" spans="64:68" x14ac:dyDescent="0.3">
      <c r="BL125">
        <v>17</v>
      </c>
      <c r="BM125">
        <v>0</v>
      </c>
      <c r="BN125">
        <v>0</v>
      </c>
      <c r="BO125">
        <v>0</v>
      </c>
      <c r="BP125">
        <v>0</v>
      </c>
    </row>
    <row r="126" spans="64:68" x14ac:dyDescent="0.3">
      <c r="BL126">
        <v>56</v>
      </c>
      <c r="BM126">
        <v>0</v>
      </c>
      <c r="BN126">
        <v>0</v>
      </c>
      <c r="BO126">
        <v>0</v>
      </c>
      <c r="BP126">
        <v>0</v>
      </c>
    </row>
    <row r="127" spans="64:68" x14ac:dyDescent="0.3">
      <c r="BL127">
        <v>54</v>
      </c>
      <c r="BM127">
        <v>0</v>
      </c>
      <c r="BN127">
        <v>0</v>
      </c>
      <c r="BO127">
        <v>0</v>
      </c>
      <c r="BP127">
        <v>0</v>
      </c>
    </row>
    <row r="128" spans="64:68" x14ac:dyDescent="0.3">
      <c r="BL128">
        <v>22</v>
      </c>
      <c r="BM128">
        <v>0</v>
      </c>
      <c r="BN128">
        <v>0</v>
      </c>
      <c r="BO128">
        <v>1</v>
      </c>
      <c r="BP128">
        <v>0</v>
      </c>
    </row>
    <row r="129" spans="64:68" x14ac:dyDescent="0.3">
      <c r="BL129">
        <v>63</v>
      </c>
      <c r="BM129">
        <v>1</v>
      </c>
      <c r="BN129">
        <v>1</v>
      </c>
      <c r="BO129">
        <v>1</v>
      </c>
      <c r="BP129">
        <v>1</v>
      </c>
    </row>
    <row r="130" spans="64:68" x14ac:dyDescent="0.3">
      <c r="BL130">
        <v>54</v>
      </c>
      <c r="BM130">
        <v>0</v>
      </c>
      <c r="BN130">
        <v>0</v>
      </c>
      <c r="BO130">
        <v>1</v>
      </c>
      <c r="BP130">
        <v>0</v>
      </c>
    </row>
    <row r="131" spans="64:68" x14ac:dyDescent="0.3">
      <c r="BL131">
        <v>61</v>
      </c>
      <c r="BM131">
        <v>1</v>
      </c>
      <c r="BN131">
        <v>1</v>
      </c>
      <c r="BO131">
        <v>1</v>
      </c>
      <c r="BP131">
        <v>1</v>
      </c>
    </row>
    <row r="132" spans="64:68" x14ac:dyDescent="0.3">
      <c r="BL132">
        <v>47</v>
      </c>
      <c r="BM132">
        <v>1</v>
      </c>
      <c r="BN132">
        <v>1</v>
      </c>
      <c r="BO132">
        <v>1</v>
      </c>
      <c r="BP132">
        <v>1</v>
      </c>
    </row>
    <row r="133" spans="64:68" x14ac:dyDescent="0.3">
      <c r="BL133">
        <v>18</v>
      </c>
      <c r="BM133">
        <v>0</v>
      </c>
      <c r="BN133">
        <v>0</v>
      </c>
      <c r="BO133">
        <v>1</v>
      </c>
      <c r="BP133">
        <v>0</v>
      </c>
    </row>
    <row r="134" spans="64:68" x14ac:dyDescent="0.3">
      <c r="BL134">
        <v>24</v>
      </c>
      <c r="BM134">
        <v>1</v>
      </c>
      <c r="BN134">
        <v>1</v>
      </c>
      <c r="BO134">
        <v>0</v>
      </c>
      <c r="BP134">
        <v>1</v>
      </c>
    </row>
    <row r="135" spans="64:68" x14ac:dyDescent="0.3">
      <c r="BL135">
        <v>60</v>
      </c>
      <c r="BM135">
        <v>0</v>
      </c>
      <c r="BN135">
        <v>0</v>
      </c>
      <c r="BO135">
        <v>1</v>
      </c>
      <c r="BP135">
        <v>0</v>
      </c>
    </row>
    <row r="136" spans="64:68" x14ac:dyDescent="0.3">
      <c r="BL136">
        <v>47</v>
      </c>
      <c r="BM136">
        <v>1</v>
      </c>
      <c r="BN136">
        <v>1</v>
      </c>
      <c r="BO136">
        <v>1</v>
      </c>
      <c r="BP136">
        <v>1</v>
      </c>
    </row>
    <row r="137" spans="64:68" x14ac:dyDescent="0.3">
      <c r="BL137">
        <v>19</v>
      </c>
      <c r="BM137">
        <v>1</v>
      </c>
      <c r="BN137">
        <v>1</v>
      </c>
      <c r="BO137">
        <v>0</v>
      </c>
      <c r="BP137">
        <v>1</v>
      </c>
    </row>
    <row r="138" spans="64:68" x14ac:dyDescent="0.3">
      <c r="BL138">
        <v>55</v>
      </c>
      <c r="BM138">
        <v>1</v>
      </c>
      <c r="BN138">
        <v>1</v>
      </c>
      <c r="BO138">
        <v>0</v>
      </c>
      <c r="BP138">
        <v>1</v>
      </c>
    </row>
    <row r="139" spans="64:68" x14ac:dyDescent="0.3">
      <c r="BL139">
        <v>49</v>
      </c>
      <c r="BM139">
        <v>1</v>
      </c>
      <c r="BN139">
        <v>1</v>
      </c>
      <c r="BO139">
        <v>0</v>
      </c>
      <c r="BP139">
        <v>1</v>
      </c>
    </row>
    <row r="140" spans="64:68" x14ac:dyDescent="0.3">
      <c r="BL140">
        <v>32</v>
      </c>
      <c r="BM140">
        <v>0</v>
      </c>
      <c r="BN140">
        <v>1</v>
      </c>
      <c r="BO140">
        <v>0</v>
      </c>
      <c r="BP140">
        <v>1</v>
      </c>
    </row>
    <row r="141" spans="64:68" x14ac:dyDescent="0.3">
      <c r="BL141">
        <v>8</v>
      </c>
      <c r="BM141">
        <v>1</v>
      </c>
      <c r="BN141">
        <v>1</v>
      </c>
      <c r="BO141">
        <v>0</v>
      </c>
      <c r="BP141">
        <v>1</v>
      </c>
    </row>
    <row r="142" spans="64:68" x14ac:dyDescent="0.3">
      <c r="BL142">
        <v>14</v>
      </c>
      <c r="BM142">
        <v>0</v>
      </c>
      <c r="BN142">
        <v>0</v>
      </c>
      <c r="BO142">
        <v>0</v>
      </c>
      <c r="BP142">
        <v>0</v>
      </c>
    </row>
    <row r="143" spans="64:68" x14ac:dyDescent="0.3">
      <c r="BL143">
        <v>28</v>
      </c>
      <c r="BM143">
        <v>0</v>
      </c>
      <c r="BN143">
        <v>0</v>
      </c>
      <c r="BO143">
        <v>1</v>
      </c>
      <c r="BP143">
        <v>0</v>
      </c>
    </row>
    <row r="144" spans="64:68" x14ac:dyDescent="0.3">
      <c r="BL144">
        <v>11</v>
      </c>
      <c r="BM144">
        <v>1</v>
      </c>
      <c r="BN144">
        <v>1</v>
      </c>
      <c r="BO144">
        <v>1</v>
      </c>
      <c r="BP144">
        <v>1</v>
      </c>
    </row>
    <row r="145" spans="64:68" x14ac:dyDescent="0.3">
      <c r="BL145">
        <v>29</v>
      </c>
      <c r="BM145">
        <v>0</v>
      </c>
      <c r="BN145">
        <v>0</v>
      </c>
      <c r="BO145">
        <v>0</v>
      </c>
      <c r="BP145">
        <v>0</v>
      </c>
    </row>
    <row r="146" spans="64:68" x14ac:dyDescent="0.3">
      <c r="BL146">
        <v>62</v>
      </c>
      <c r="BM146">
        <v>0</v>
      </c>
      <c r="BN146">
        <v>0</v>
      </c>
      <c r="BO146">
        <v>1</v>
      </c>
      <c r="BP146">
        <v>0</v>
      </c>
    </row>
    <row r="147" spans="64:68" x14ac:dyDescent="0.3">
      <c r="BL147">
        <v>65</v>
      </c>
      <c r="BM147">
        <v>1</v>
      </c>
      <c r="BN147">
        <v>1</v>
      </c>
      <c r="BO147">
        <v>1</v>
      </c>
      <c r="BP147">
        <v>1</v>
      </c>
    </row>
    <row r="148" spans="64:68" x14ac:dyDescent="0.3">
      <c r="BL148">
        <v>43</v>
      </c>
      <c r="BM148">
        <v>1</v>
      </c>
      <c r="BN148">
        <v>1</v>
      </c>
      <c r="BO148">
        <v>1</v>
      </c>
      <c r="BP148">
        <v>1</v>
      </c>
    </row>
    <row r="149" spans="64:68" x14ac:dyDescent="0.3">
      <c r="BL149">
        <v>59</v>
      </c>
      <c r="BM149">
        <v>1</v>
      </c>
      <c r="BN149">
        <v>1</v>
      </c>
      <c r="BO149">
        <v>0</v>
      </c>
      <c r="BP149">
        <v>1</v>
      </c>
    </row>
    <row r="150" spans="64:68" x14ac:dyDescent="0.3">
      <c r="BL150">
        <v>29</v>
      </c>
      <c r="BM150">
        <v>1</v>
      </c>
      <c r="BN150">
        <v>1</v>
      </c>
      <c r="BO150">
        <v>1</v>
      </c>
      <c r="BP150">
        <v>1</v>
      </c>
    </row>
    <row r="151" spans="64:68" x14ac:dyDescent="0.3">
      <c r="BL151">
        <v>17</v>
      </c>
      <c r="BM151">
        <v>0</v>
      </c>
      <c r="BN151">
        <v>0</v>
      </c>
      <c r="BO151">
        <v>0</v>
      </c>
      <c r="BP151">
        <v>0</v>
      </c>
    </row>
    <row r="152" spans="64:68" x14ac:dyDescent="0.3">
      <c r="BL152">
        <v>41</v>
      </c>
      <c r="BM152">
        <v>1</v>
      </c>
      <c r="BN152">
        <v>1</v>
      </c>
      <c r="BO152">
        <v>1</v>
      </c>
      <c r="BP152">
        <v>1</v>
      </c>
    </row>
    <row r="153" spans="64:68" x14ac:dyDescent="0.3">
      <c r="BL153">
        <v>8</v>
      </c>
      <c r="BM153">
        <v>1</v>
      </c>
      <c r="BN153">
        <v>1</v>
      </c>
      <c r="BO153">
        <v>1</v>
      </c>
      <c r="BP153">
        <v>1</v>
      </c>
    </row>
    <row r="154" spans="64:68" x14ac:dyDescent="0.3">
      <c r="BL154">
        <v>29</v>
      </c>
      <c r="BM154">
        <v>1</v>
      </c>
      <c r="BN154">
        <v>1</v>
      </c>
      <c r="BO154">
        <v>0</v>
      </c>
      <c r="BP154">
        <v>1</v>
      </c>
    </row>
    <row r="155" spans="64:68" x14ac:dyDescent="0.3">
      <c r="BL155">
        <v>54</v>
      </c>
      <c r="BM155">
        <v>1</v>
      </c>
      <c r="BN155">
        <v>1</v>
      </c>
      <c r="BO155">
        <v>0</v>
      </c>
      <c r="BP155">
        <v>1</v>
      </c>
    </row>
    <row r="156" spans="64:68" x14ac:dyDescent="0.3">
      <c r="BL156">
        <v>53</v>
      </c>
      <c r="BM156">
        <v>0</v>
      </c>
      <c r="BN156">
        <v>0</v>
      </c>
      <c r="BO156">
        <v>1</v>
      </c>
      <c r="BP156">
        <v>0</v>
      </c>
    </row>
    <row r="157" spans="64:68" x14ac:dyDescent="0.3">
      <c r="BL157">
        <v>16</v>
      </c>
      <c r="BM157">
        <v>1</v>
      </c>
      <c r="BN157">
        <v>1</v>
      </c>
      <c r="BO157">
        <v>1</v>
      </c>
      <c r="BP157">
        <v>1</v>
      </c>
    </row>
    <row r="158" spans="64:68" x14ac:dyDescent="0.3">
      <c r="BL158">
        <v>43</v>
      </c>
      <c r="BM158">
        <v>0</v>
      </c>
      <c r="BN158">
        <v>0</v>
      </c>
      <c r="BO158">
        <v>1</v>
      </c>
      <c r="BP158">
        <v>0</v>
      </c>
    </row>
    <row r="159" spans="64:68" x14ac:dyDescent="0.3">
      <c r="BL159">
        <v>54</v>
      </c>
      <c r="BM159">
        <v>0</v>
      </c>
      <c r="BN159">
        <v>0</v>
      </c>
      <c r="BO159">
        <v>0</v>
      </c>
      <c r="BP159">
        <v>0</v>
      </c>
    </row>
    <row r="160" spans="64:68" x14ac:dyDescent="0.3">
      <c r="BL160">
        <v>41</v>
      </c>
      <c r="BM160">
        <v>0</v>
      </c>
      <c r="BN160">
        <v>0</v>
      </c>
      <c r="BO160">
        <v>0</v>
      </c>
      <c r="BP160">
        <v>0</v>
      </c>
    </row>
    <row r="161" spans="64:68" x14ac:dyDescent="0.3">
      <c r="BL161">
        <v>42</v>
      </c>
      <c r="BM161">
        <v>0</v>
      </c>
      <c r="BN161">
        <v>0</v>
      </c>
      <c r="BO161">
        <v>0</v>
      </c>
      <c r="BP161">
        <v>0</v>
      </c>
    </row>
    <row r="162" spans="64:68" x14ac:dyDescent="0.3">
      <c r="BL162">
        <v>45</v>
      </c>
      <c r="BM162">
        <v>1</v>
      </c>
      <c r="BN162">
        <v>1</v>
      </c>
      <c r="BO162">
        <v>1</v>
      </c>
      <c r="BP162">
        <v>1</v>
      </c>
    </row>
    <row r="163" spans="64:68" x14ac:dyDescent="0.3">
      <c r="BL163">
        <v>13</v>
      </c>
      <c r="BM163">
        <v>1</v>
      </c>
      <c r="BN163">
        <v>1</v>
      </c>
      <c r="BO163">
        <v>1</v>
      </c>
      <c r="BP163">
        <v>1</v>
      </c>
    </row>
    <row r="164" spans="64:68" x14ac:dyDescent="0.3">
      <c r="BL164">
        <v>10</v>
      </c>
      <c r="BM164">
        <v>1</v>
      </c>
      <c r="BN164">
        <v>1</v>
      </c>
      <c r="BO164">
        <v>0</v>
      </c>
      <c r="BP164">
        <v>1</v>
      </c>
    </row>
    <row r="165" spans="64:68" x14ac:dyDescent="0.3">
      <c r="BL165">
        <v>18</v>
      </c>
      <c r="BM165">
        <v>1</v>
      </c>
      <c r="BN165">
        <v>1</v>
      </c>
      <c r="BO165">
        <v>0</v>
      </c>
      <c r="BP165">
        <v>1</v>
      </c>
    </row>
    <row r="166" spans="64:68" x14ac:dyDescent="0.3">
      <c r="BL166">
        <v>9</v>
      </c>
      <c r="BM166">
        <v>1</v>
      </c>
      <c r="BN166">
        <v>1</v>
      </c>
      <c r="BO166">
        <v>0</v>
      </c>
      <c r="BP166">
        <v>1</v>
      </c>
    </row>
    <row r="167" spans="64:68" x14ac:dyDescent="0.3">
      <c r="BL167">
        <v>63</v>
      </c>
      <c r="BM167">
        <v>0</v>
      </c>
      <c r="BN167">
        <v>0</v>
      </c>
      <c r="BO167">
        <v>1</v>
      </c>
      <c r="BP167">
        <v>0</v>
      </c>
    </row>
    <row r="168" spans="64:68" x14ac:dyDescent="0.3">
      <c r="BL168">
        <v>36</v>
      </c>
      <c r="BM168">
        <v>1</v>
      </c>
      <c r="BN168">
        <v>1</v>
      </c>
      <c r="BO168">
        <v>0</v>
      </c>
      <c r="BP168">
        <v>1</v>
      </c>
    </row>
    <row r="169" spans="64:68" x14ac:dyDescent="0.3">
      <c r="BL169">
        <v>15</v>
      </c>
      <c r="BM169">
        <v>0</v>
      </c>
      <c r="BN169">
        <v>0</v>
      </c>
      <c r="BO169">
        <v>1</v>
      </c>
      <c r="BP169">
        <v>0</v>
      </c>
    </row>
    <row r="170" spans="64:68" x14ac:dyDescent="0.3">
      <c r="BL170">
        <v>30</v>
      </c>
      <c r="BM170">
        <v>0</v>
      </c>
      <c r="BN170">
        <v>0</v>
      </c>
      <c r="BO170">
        <v>0</v>
      </c>
      <c r="BP170">
        <v>0</v>
      </c>
    </row>
    <row r="171" spans="64:68" x14ac:dyDescent="0.3">
      <c r="BL171">
        <v>40</v>
      </c>
      <c r="BM171">
        <v>1</v>
      </c>
      <c r="BN171">
        <v>1</v>
      </c>
      <c r="BO171">
        <v>0</v>
      </c>
      <c r="BP171">
        <v>1</v>
      </c>
    </row>
    <row r="172" spans="64:68" x14ac:dyDescent="0.3">
      <c r="BL172">
        <v>45</v>
      </c>
      <c r="BM172">
        <v>1</v>
      </c>
      <c r="BN172">
        <v>1</v>
      </c>
      <c r="BO172">
        <v>0</v>
      </c>
      <c r="BP172">
        <v>1</v>
      </c>
    </row>
    <row r="173" spans="64:68" x14ac:dyDescent="0.3">
      <c r="BL173">
        <v>14</v>
      </c>
      <c r="BM173">
        <v>0</v>
      </c>
      <c r="BN173">
        <v>0</v>
      </c>
      <c r="BO173">
        <v>1</v>
      </c>
      <c r="BP173">
        <v>0</v>
      </c>
    </row>
    <row r="174" spans="64:68" x14ac:dyDescent="0.3">
      <c r="BL174">
        <v>9</v>
      </c>
      <c r="BM174">
        <v>1</v>
      </c>
      <c r="BN174">
        <v>1</v>
      </c>
      <c r="BO174">
        <v>0</v>
      </c>
      <c r="BP174">
        <v>1</v>
      </c>
    </row>
    <row r="175" spans="64:68" x14ac:dyDescent="0.3">
      <c r="BL175">
        <v>42</v>
      </c>
      <c r="BM175">
        <v>0</v>
      </c>
      <c r="BN175">
        <v>0</v>
      </c>
      <c r="BO175">
        <v>1</v>
      </c>
      <c r="BP175">
        <v>0</v>
      </c>
    </row>
    <row r="176" spans="64:68" x14ac:dyDescent="0.3">
      <c r="BL176">
        <v>17</v>
      </c>
      <c r="BM176">
        <v>0</v>
      </c>
      <c r="BN176">
        <v>0</v>
      </c>
      <c r="BO176">
        <v>0</v>
      </c>
      <c r="BP176">
        <v>0</v>
      </c>
    </row>
    <row r="177" spans="64:68" x14ac:dyDescent="0.3">
      <c r="BL177">
        <v>49</v>
      </c>
      <c r="BM177">
        <v>0</v>
      </c>
      <c r="BN177">
        <v>0</v>
      </c>
      <c r="BO177">
        <v>0</v>
      </c>
      <c r="BP177">
        <v>0</v>
      </c>
    </row>
    <row r="178" spans="64:68" x14ac:dyDescent="0.3">
      <c r="BL178">
        <v>14</v>
      </c>
      <c r="BM178">
        <v>0</v>
      </c>
      <c r="BN178">
        <v>0</v>
      </c>
      <c r="BO178">
        <v>0</v>
      </c>
      <c r="BP178">
        <v>0</v>
      </c>
    </row>
    <row r="179" spans="64:68" x14ac:dyDescent="0.3">
      <c r="BL179">
        <v>41</v>
      </c>
      <c r="BM179">
        <v>0</v>
      </c>
      <c r="BN179">
        <v>0</v>
      </c>
      <c r="BO179">
        <v>0</v>
      </c>
      <c r="BP179">
        <v>0</v>
      </c>
    </row>
    <row r="180" spans="64:68" x14ac:dyDescent="0.3">
      <c r="BL180">
        <v>27</v>
      </c>
      <c r="BM180">
        <v>1</v>
      </c>
      <c r="BN180">
        <v>1</v>
      </c>
      <c r="BO180">
        <v>1</v>
      </c>
      <c r="BP180">
        <v>1</v>
      </c>
    </row>
    <row r="181" spans="64:68" x14ac:dyDescent="0.3">
      <c r="BL181">
        <v>38</v>
      </c>
      <c r="BM181">
        <v>1</v>
      </c>
      <c r="BN181">
        <v>1</v>
      </c>
      <c r="BO181">
        <v>0</v>
      </c>
      <c r="BP181">
        <v>1</v>
      </c>
    </row>
    <row r="182" spans="64:68" x14ac:dyDescent="0.3">
      <c r="BL182">
        <v>14</v>
      </c>
      <c r="BM182">
        <v>1</v>
      </c>
      <c r="BN182">
        <v>1</v>
      </c>
      <c r="BO182">
        <v>0</v>
      </c>
      <c r="BP182">
        <v>1</v>
      </c>
    </row>
    <row r="183" spans="64:68" x14ac:dyDescent="0.3">
      <c r="BL183">
        <v>28</v>
      </c>
      <c r="BM183">
        <v>0</v>
      </c>
      <c r="BN183">
        <v>0</v>
      </c>
      <c r="BO183">
        <v>1</v>
      </c>
      <c r="BP183">
        <v>0</v>
      </c>
    </row>
    <row r="184" spans="64:68" x14ac:dyDescent="0.3">
      <c r="BL184">
        <v>35</v>
      </c>
      <c r="BM184">
        <v>1</v>
      </c>
      <c r="BN184">
        <v>1</v>
      </c>
      <c r="BO184">
        <v>1</v>
      </c>
      <c r="BP184">
        <v>1</v>
      </c>
    </row>
    <row r="185" spans="64:68" x14ac:dyDescent="0.3">
      <c r="BL185">
        <v>59</v>
      </c>
      <c r="BM185">
        <v>0</v>
      </c>
      <c r="BN185">
        <v>0</v>
      </c>
      <c r="BO185">
        <v>1</v>
      </c>
      <c r="BP185">
        <v>0</v>
      </c>
    </row>
    <row r="186" spans="64:68" x14ac:dyDescent="0.3">
      <c r="BL186">
        <v>58</v>
      </c>
      <c r="BM186">
        <v>1</v>
      </c>
      <c r="BN186">
        <v>1</v>
      </c>
      <c r="BO186">
        <v>1</v>
      </c>
      <c r="BP186">
        <v>1</v>
      </c>
    </row>
    <row r="187" spans="64:68" x14ac:dyDescent="0.3">
      <c r="BL187">
        <v>40</v>
      </c>
      <c r="BM187">
        <v>0</v>
      </c>
      <c r="BN187">
        <v>0</v>
      </c>
      <c r="BO187">
        <v>1</v>
      </c>
      <c r="BP187">
        <v>0</v>
      </c>
    </row>
    <row r="188" spans="64:68" x14ac:dyDescent="0.3">
      <c r="BL188">
        <v>25</v>
      </c>
      <c r="BM188">
        <v>0</v>
      </c>
      <c r="BN188">
        <v>0</v>
      </c>
      <c r="BO188">
        <v>1</v>
      </c>
      <c r="BP188">
        <v>0</v>
      </c>
    </row>
    <row r="189" spans="64:68" x14ac:dyDescent="0.3">
      <c r="BL189">
        <v>63</v>
      </c>
      <c r="BM189">
        <v>0</v>
      </c>
      <c r="BN189">
        <v>0</v>
      </c>
      <c r="BO189">
        <v>1</v>
      </c>
      <c r="BP189">
        <v>0</v>
      </c>
    </row>
    <row r="190" spans="64:68" x14ac:dyDescent="0.3">
      <c r="BL190">
        <v>48</v>
      </c>
      <c r="BM190">
        <v>1</v>
      </c>
      <c r="BN190">
        <v>1</v>
      </c>
      <c r="BO190">
        <v>0</v>
      </c>
      <c r="BP190">
        <v>1</v>
      </c>
    </row>
    <row r="191" spans="64:68" x14ac:dyDescent="0.3">
      <c r="BL191">
        <v>15</v>
      </c>
      <c r="BM191">
        <v>1</v>
      </c>
      <c r="BN191">
        <v>1</v>
      </c>
      <c r="BO191">
        <v>1</v>
      </c>
      <c r="BP191">
        <v>1</v>
      </c>
    </row>
    <row r="192" spans="64:68" x14ac:dyDescent="0.3">
      <c r="BL192">
        <v>60</v>
      </c>
      <c r="BM192">
        <v>0</v>
      </c>
      <c r="BN192">
        <v>0</v>
      </c>
      <c r="BO192">
        <v>1</v>
      </c>
      <c r="BP192">
        <v>0</v>
      </c>
    </row>
    <row r="193" spans="64:68" x14ac:dyDescent="0.3">
      <c r="BL193">
        <v>13</v>
      </c>
      <c r="BM193">
        <v>0</v>
      </c>
      <c r="BN193">
        <v>0</v>
      </c>
      <c r="BO193">
        <v>1</v>
      </c>
      <c r="BP193">
        <v>0</v>
      </c>
    </row>
    <row r="194" spans="64:68" x14ac:dyDescent="0.3">
      <c r="BL194">
        <v>58</v>
      </c>
      <c r="BM194">
        <v>0</v>
      </c>
      <c r="BN194">
        <v>0</v>
      </c>
      <c r="BO194">
        <v>1</v>
      </c>
      <c r="BP194">
        <v>0</v>
      </c>
    </row>
    <row r="195" spans="64:68" x14ac:dyDescent="0.3">
      <c r="BL195">
        <v>53</v>
      </c>
      <c r="BM195">
        <v>1</v>
      </c>
      <c r="BN195">
        <v>1</v>
      </c>
      <c r="BO195">
        <v>1</v>
      </c>
      <c r="BP195">
        <v>1</v>
      </c>
    </row>
    <row r="196" spans="64:68" x14ac:dyDescent="0.3">
      <c r="BL196">
        <v>61</v>
      </c>
      <c r="BM196">
        <v>1</v>
      </c>
      <c r="BN196">
        <v>1</v>
      </c>
      <c r="BO196">
        <v>1</v>
      </c>
      <c r="BP196">
        <v>1</v>
      </c>
    </row>
    <row r="197" spans="64:68" x14ac:dyDescent="0.3">
      <c r="BL197">
        <v>44</v>
      </c>
      <c r="BM197">
        <v>0</v>
      </c>
      <c r="BN197">
        <v>0</v>
      </c>
      <c r="BO197">
        <v>1</v>
      </c>
      <c r="BP197">
        <v>0</v>
      </c>
    </row>
    <row r="198" spans="64:68" x14ac:dyDescent="0.3">
      <c r="BL198">
        <v>40</v>
      </c>
      <c r="BM198">
        <v>0</v>
      </c>
      <c r="BN198">
        <v>0</v>
      </c>
      <c r="BO198">
        <v>0</v>
      </c>
      <c r="BP198">
        <v>0</v>
      </c>
    </row>
    <row r="199" spans="64:68" x14ac:dyDescent="0.3">
      <c r="BL199">
        <v>49</v>
      </c>
      <c r="BM199">
        <v>0</v>
      </c>
      <c r="BN199">
        <v>0</v>
      </c>
      <c r="BO199">
        <v>0</v>
      </c>
      <c r="BP199">
        <v>0</v>
      </c>
    </row>
    <row r="200" spans="64:68" x14ac:dyDescent="0.3">
      <c r="BL200">
        <v>56</v>
      </c>
      <c r="BM200">
        <v>1</v>
      </c>
      <c r="BN200">
        <v>1</v>
      </c>
      <c r="BO200">
        <v>0</v>
      </c>
      <c r="BP200">
        <v>1</v>
      </c>
    </row>
    <row r="201" spans="64:68" x14ac:dyDescent="0.3">
      <c r="BL201">
        <v>28</v>
      </c>
      <c r="BM201">
        <v>0</v>
      </c>
      <c r="BN201">
        <v>0</v>
      </c>
      <c r="BO201">
        <v>1</v>
      </c>
      <c r="BP201">
        <v>0</v>
      </c>
    </row>
    <row r="202" spans="64:68" x14ac:dyDescent="0.3">
      <c r="BL202">
        <v>40</v>
      </c>
      <c r="BM202">
        <v>0</v>
      </c>
      <c r="BN202">
        <v>0</v>
      </c>
      <c r="BO202">
        <v>0</v>
      </c>
      <c r="BP202">
        <v>0</v>
      </c>
    </row>
    <row r="203" spans="64:68" x14ac:dyDescent="0.3">
      <c r="BL203">
        <v>25</v>
      </c>
      <c r="BM203">
        <v>1</v>
      </c>
      <c r="BN203">
        <v>1</v>
      </c>
      <c r="BO203">
        <v>0</v>
      </c>
      <c r="BP203">
        <v>1</v>
      </c>
    </row>
    <row r="204" spans="64:68" x14ac:dyDescent="0.3">
      <c r="BL204">
        <v>52</v>
      </c>
      <c r="BM204">
        <v>0</v>
      </c>
      <c r="BN204">
        <v>0</v>
      </c>
      <c r="BO204">
        <v>0</v>
      </c>
      <c r="BP204">
        <v>0</v>
      </c>
    </row>
    <row r="205" spans="64:68" x14ac:dyDescent="0.3">
      <c r="BL205">
        <v>60</v>
      </c>
      <c r="BM205">
        <v>0</v>
      </c>
      <c r="BN205">
        <v>0</v>
      </c>
      <c r="BO205">
        <v>0</v>
      </c>
      <c r="BP205">
        <v>0</v>
      </c>
    </row>
    <row r="206" spans="64:68" x14ac:dyDescent="0.3">
      <c r="BL206">
        <v>59</v>
      </c>
      <c r="BM206">
        <v>0</v>
      </c>
      <c r="BN206">
        <v>0</v>
      </c>
      <c r="BO206">
        <v>1</v>
      </c>
      <c r="BP206">
        <v>0</v>
      </c>
    </row>
    <row r="207" spans="64:68" x14ac:dyDescent="0.3">
      <c r="BL207">
        <v>35</v>
      </c>
      <c r="BM207">
        <v>1</v>
      </c>
      <c r="BN207">
        <v>1</v>
      </c>
      <c r="BO207">
        <v>0</v>
      </c>
      <c r="BP207">
        <v>1</v>
      </c>
    </row>
    <row r="208" spans="64:68" x14ac:dyDescent="0.3">
      <c r="BL208">
        <v>48</v>
      </c>
      <c r="BM208">
        <v>1</v>
      </c>
      <c r="BN208">
        <v>1</v>
      </c>
      <c r="BO208">
        <v>1</v>
      </c>
      <c r="BP208">
        <v>1</v>
      </c>
    </row>
    <row r="209" spans="64:68" x14ac:dyDescent="0.3">
      <c r="BL209">
        <v>31</v>
      </c>
      <c r="BM209">
        <v>1</v>
      </c>
      <c r="BN209">
        <v>1</v>
      </c>
      <c r="BO209">
        <v>1</v>
      </c>
      <c r="BP209">
        <v>1</v>
      </c>
    </row>
    <row r="210" spans="64:68" x14ac:dyDescent="0.3">
      <c r="BL210">
        <v>33</v>
      </c>
      <c r="BM210">
        <v>1</v>
      </c>
      <c r="BN210">
        <v>1</v>
      </c>
      <c r="BO210">
        <v>0</v>
      </c>
      <c r="BP210">
        <v>1</v>
      </c>
    </row>
    <row r="211" spans="64:68" x14ac:dyDescent="0.3">
      <c r="BL211">
        <v>39</v>
      </c>
      <c r="BM211">
        <v>1</v>
      </c>
      <c r="BN211">
        <v>1</v>
      </c>
      <c r="BO211">
        <v>1</v>
      </c>
      <c r="BP211">
        <v>1</v>
      </c>
    </row>
    <row r="212" spans="64:68" x14ac:dyDescent="0.3">
      <c r="BL212">
        <v>34</v>
      </c>
      <c r="BM212">
        <v>0</v>
      </c>
      <c r="BN212">
        <v>0</v>
      </c>
      <c r="BO212">
        <v>0</v>
      </c>
      <c r="BP212">
        <v>0</v>
      </c>
    </row>
    <row r="213" spans="64:68" x14ac:dyDescent="0.3">
      <c r="BL213">
        <v>33</v>
      </c>
      <c r="BM213">
        <v>1</v>
      </c>
      <c r="BN213">
        <v>1</v>
      </c>
      <c r="BO213">
        <v>1</v>
      </c>
      <c r="BP213">
        <v>1</v>
      </c>
    </row>
    <row r="214" spans="64:68" x14ac:dyDescent="0.3">
      <c r="BL214">
        <v>18</v>
      </c>
      <c r="BM214">
        <v>0</v>
      </c>
      <c r="BN214">
        <v>1</v>
      </c>
      <c r="BO214">
        <v>1</v>
      </c>
      <c r="BP214">
        <v>1</v>
      </c>
    </row>
    <row r="215" spans="64:68" x14ac:dyDescent="0.3">
      <c r="BL215">
        <v>43</v>
      </c>
      <c r="BM215">
        <v>1</v>
      </c>
      <c r="BN215">
        <v>1</v>
      </c>
      <c r="BO215">
        <v>1</v>
      </c>
      <c r="BP215">
        <v>1</v>
      </c>
    </row>
    <row r="216" spans="64:68" x14ac:dyDescent="0.3">
      <c r="BL216">
        <v>61</v>
      </c>
      <c r="BM216">
        <v>0</v>
      </c>
      <c r="BN216">
        <v>0</v>
      </c>
      <c r="BO216">
        <v>1</v>
      </c>
      <c r="BP216">
        <v>0</v>
      </c>
    </row>
    <row r="217" spans="64:68" x14ac:dyDescent="0.3">
      <c r="BL217">
        <v>46</v>
      </c>
      <c r="BM217">
        <v>0</v>
      </c>
      <c r="BN217">
        <v>0</v>
      </c>
      <c r="BO217">
        <v>0</v>
      </c>
      <c r="BP217">
        <v>0</v>
      </c>
    </row>
    <row r="218" spans="64:68" x14ac:dyDescent="0.3">
      <c r="BL218">
        <v>59</v>
      </c>
      <c r="BM218">
        <v>1</v>
      </c>
      <c r="BN218">
        <v>1</v>
      </c>
      <c r="BO218">
        <v>1</v>
      </c>
      <c r="BP218">
        <v>1</v>
      </c>
    </row>
    <row r="219" spans="64:68" x14ac:dyDescent="0.3">
      <c r="BL219">
        <v>55</v>
      </c>
      <c r="BM219">
        <v>1</v>
      </c>
      <c r="BN219">
        <v>1</v>
      </c>
      <c r="BO219">
        <v>1</v>
      </c>
      <c r="BP219">
        <v>1</v>
      </c>
    </row>
    <row r="220" spans="64:68" x14ac:dyDescent="0.3">
      <c r="BL220">
        <v>25</v>
      </c>
      <c r="BM220">
        <v>0</v>
      </c>
      <c r="BN220">
        <v>0</v>
      </c>
      <c r="BO220">
        <v>1</v>
      </c>
      <c r="BP220">
        <v>0</v>
      </c>
    </row>
    <row r="221" spans="64:68" x14ac:dyDescent="0.3">
      <c r="BL221">
        <v>53</v>
      </c>
      <c r="BM221">
        <v>0</v>
      </c>
      <c r="BN221">
        <v>0</v>
      </c>
      <c r="BO221">
        <v>1</v>
      </c>
      <c r="BP221">
        <v>0</v>
      </c>
    </row>
    <row r="222" spans="64:68" x14ac:dyDescent="0.3">
      <c r="BL222">
        <v>32</v>
      </c>
      <c r="BM222">
        <v>1</v>
      </c>
      <c r="BN222">
        <v>1</v>
      </c>
      <c r="BO222">
        <v>0</v>
      </c>
      <c r="BP222">
        <v>1</v>
      </c>
    </row>
    <row r="223" spans="64:68" x14ac:dyDescent="0.3">
      <c r="BL223">
        <v>40</v>
      </c>
      <c r="BM223">
        <v>1</v>
      </c>
      <c r="BN223">
        <v>1</v>
      </c>
      <c r="BO223">
        <v>1</v>
      </c>
      <c r="BP223">
        <v>1</v>
      </c>
    </row>
    <row r="224" spans="64:68" x14ac:dyDescent="0.3">
      <c r="BL224">
        <v>57</v>
      </c>
      <c r="BM224">
        <v>1</v>
      </c>
      <c r="BN224">
        <v>1</v>
      </c>
      <c r="BO224">
        <v>1</v>
      </c>
      <c r="BP224">
        <v>1</v>
      </c>
    </row>
    <row r="225" spans="64:68" x14ac:dyDescent="0.3">
      <c r="BL225">
        <v>43</v>
      </c>
      <c r="BM225">
        <v>0</v>
      </c>
      <c r="BN225">
        <v>0</v>
      </c>
      <c r="BO225">
        <v>1</v>
      </c>
      <c r="BP225">
        <v>0</v>
      </c>
    </row>
    <row r="226" spans="64:68" x14ac:dyDescent="0.3">
      <c r="BL226">
        <v>43</v>
      </c>
      <c r="BM226">
        <v>0</v>
      </c>
      <c r="BN226">
        <v>0</v>
      </c>
      <c r="BO226">
        <v>1</v>
      </c>
      <c r="BP226">
        <v>0</v>
      </c>
    </row>
    <row r="227" spans="64:68" x14ac:dyDescent="0.3">
      <c r="BL227">
        <v>57</v>
      </c>
      <c r="BM227">
        <v>0</v>
      </c>
      <c r="BN227">
        <v>0</v>
      </c>
      <c r="BO227">
        <v>0</v>
      </c>
      <c r="BP227">
        <v>0</v>
      </c>
    </row>
    <row r="228" spans="64:68" x14ac:dyDescent="0.3">
      <c r="BL228">
        <v>55</v>
      </c>
      <c r="BM228">
        <v>1</v>
      </c>
      <c r="BN228">
        <v>1</v>
      </c>
      <c r="BO228">
        <v>1</v>
      </c>
      <c r="BP228">
        <v>1</v>
      </c>
    </row>
    <row r="229" spans="64:68" x14ac:dyDescent="0.3">
      <c r="BL229">
        <v>16</v>
      </c>
      <c r="BM229">
        <v>1</v>
      </c>
      <c r="BN229">
        <v>1</v>
      </c>
      <c r="BO229">
        <v>0</v>
      </c>
      <c r="BP229">
        <v>1</v>
      </c>
    </row>
    <row r="230" spans="64:68" x14ac:dyDescent="0.3">
      <c r="BL230">
        <v>25</v>
      </c>
      <c r="BM230">
        <v>0</v>
      </c>
      <c r="BN230">
        <v>0</v>
      </c>
      <c r="BO230">
        <v>1</v>
      </c>
      <c r="BP230">
        <v>0</v>
      </c>
    </row>
    <row r="231" spans="64:68" x14ac:dyDescent="0.3">
      <c r="BL231">
        <v>28</v>
      </c>
      <c r="BM231">
        <v>1</v>
      </c>
      <c r="BN231">
        <v>1</v>
      </c>
      <c r="BO231">
        <v>0</v>
      </c>
      <c r="BP231">
        <v>1</v>
      </c>
    </row>
    <row r="232" spans="64:68" x14ac:dyDescent="0.3">
      <c r="BL232">
        <v>41</v>
      </c>
      <c r="BM232">
        <v>0</v>
      </c>
      <c r="BN232">
        <v>0</v>
      </c>
      <c r="BO232">
        <v>0</v>
      </c>
      <c r="BP232">
        <v>0</v>
      </c>
    </row>
    <row r="233" spans="64:68" x14ac:dyDescent="0.3">
      <c r="BL233">
        <v>52</v>
      </c>
      <c r="BM233">
        <v>1</v>
      </c>
      <c r="BN233">
        <v>1</v>
      </c>
      <c r="BO233">
        <v>1</v>
      </c>
      <c r="BP233">
        <v>1</v>
      </c>
    </row>
    <row r="234" spans="64:68" x14ac:dyDescent="0.3">
      <c r="BL234">
        <v>46</v>
      </c>
      <c r="BM234">
        <v>1</v>
      </c>
      <c r="BN234">
        <v>1</v>
      </c>
      <c r="BO234">
        <v>0</v>
      </c>
      <c r="BP234">
        <v>1</v>
      </c>
    </row>
    <row r="235" spans="64:68" x14ac:dyDescent="0.3">
      <c r="BL235">
        <v>55</v>
      </c>
      <c r="BM235">
        <v>0</v>
      </c>
      <c r="BN235">
        <v>0</v>
      </c>
      <c r="BO235">
        <v>1</v>
      </c>
      <c r="BP235">
        <v>0</v>
      </c>
    </row>
    <row r="236" spans="64:68" x14ac:dyDescent="0.3">
      <c r="BL236">
        <v>53</v>
      </c>
      <c r="BM236">
        <v>1</v>
      </c>
      <c r="BN236">
        <v>1</v>
      </c>
      <c r="BO236">
        <v>1</v>
      </c>
      <c r="BP236">
        <v>1</v>
      </c>
    </row>
    <row r="237" spans="64:68" x14ac:dyDescent="0.3">
      <c r="BL237">
        <v>42</v>
      </c>
      <c r="BM237">
        <v>1</v>
      </c>
      <c r="BN237">
        <v>1</v>
      </c>
      <c r="BO237">
        <v>0</v>
      </c>
      <c r="BP237">
        <v>1</v>
      </c>
    </row>
    <row r="238" spans="64:68" x14ac:dyDescent="0.3">
      <c r="BL238">
        <v>30</v>
      </c>
      <c r="BM238">
        <v>0</v>
      </c>
      <c r="BN238">
        <v>0</v>
      </c>
      <c r="BO238">
        <v>0</v>
      </c>
      <c r="BP238">
        <v>0</v>
      </c>
    </row>
    <row r="239" spans="64:68" x14ac:dyDescent="0.3">
      <c r="BL239">
        <v>18</v>
      </c>
      <c r="BM239">
        <v>1</v>
      </c>
      <c r="BN239">
        <v>1</v>
      </c>
      <c r="BO239">
        <v>0</v>
      </c>
      <c r="BP239">
        <v>1</v>
      </c>
    </row>
    <row r="240" spans="64:68" x14ac:dyDescent="0.3">
      <c r="BL240">
        <v>44</v>
      </c>
      <c r="BM240">
        <v>0</v>
      </c>
      <c r="BN240">
        <v>0</v>
      </c>
      <c r="BO240">
        <v>1</v>
      </c>
      <c r="BP240">
        <v>0</v>
      </c>
    </row>
    <row r="241" spans="64:68" x14ac:dyDescent="0.3">
      <c r="BL241">
        <v>21</v>
      </c>
      <c r="BM241">
        <v>1</v>
      </c>
      <c r="BN241">
        <v>1</v>
      </c>
      <c r="BO241">
        <v>1</v>
      </c>
      <c r="BP241">
        <v>1</v>
      </c>
    </row>
    <row r="242" spans="64:68" x14ac:dyDescent="0.3">
      <c r="BL242">
        <v>56</v>
      </c>
      <c r="BM242">
        <v>0</v>
      </c>
      <c r="BN242">
        <v>0</v>
      </c>
      <c r="BO242">
        <v>0</v>
      </c>
      <c r="BP242">
        <v>0</v>
      </c>
    </row>
    <row r="243" spans="64:68" x14ac:dyDescent="0.3">
      <c r="BL243">
        <v>50</v>
      </c>
      <c r="BM243">
        <v>1</v>
      </c>
      <c r="BN243">
        <v>1</v>
      </c>
      <c r="BO243">
        <v>0</v>
      </c>
      <c r="BP243">
        <v>1</v>
      </c>
    </row>
    <row r="244" spans="64:68" x14ac:dyDescent="0.3">
      <c r="BL244">
        <v>12</v>
      </c>
      <c r="BM244">
        <v>1</v>
      </c>
      <c r="BN244">
        <v>1</v>
      </c>
      <c r="BO244">
        <v>0</v>
      </c>
      <c r="BP244">
        <v>1</v>
      </c>
    </row>
    <row r="245" spans="64:68" x14ac:dyDescent="0.3">
      <c r="BL245">
        <v>43</v>
      </c>
      <c r="BM245">
        <v>0</v>
      </c>
      <c r="BN245">
        <v>0</v>
      </c>
      <c r="BO245">
        <v>0</v>
      </c>
      <c r="BP245">
        <v>0</v>
      </c>
    </row>
    <row r="246" spans="64:68" x14ac:dyDescent="0.3">
      <c r="BL246">
        <v>42</v>
      </c>
      <c r="BM246">
        <v>1</v>
      </c>
      <c r="BN246">
        <v>1</v>
      </c>
      <c r="BO246">
        <v>0</v>
      </c>
      <c r="BP246">
        <v>1</v>
      </c>
    </row>
    <row r="247" spans="64:68" x14ac:dyDescent="0.3">
      <c r="BL247">
        <v>38</v>
      </c>
      <c r="BM247">
        <v>0</v>
      </c>
      <c r="BN247">
        <v>1</v>
      </c>
      <c r="BO247">
        <v>0</v>
      </c>
      <c r="BP247">
        <v>1</v>
      </c>
    </row>
    <row r="248" spans="64:68" x14ac:dyDescent="0.3">
      <c r="BL248">
        <v>62</v>
      </c>
      <c r="BM248">
        <v>1</v>
      </c>
      <c r="BN248">
        <v>1</v>
      </c>
      <c r="BO248">
        <v>0</v>
      </c>
      <c r="BP248">
        <v>1</v>
      </c>
    </row>
    <row r="249" spans="64:68" x14ac:dyDescent="0.3">
      <c r="BL249">
        <v>32</v>
      </c>
      <c r="BM249">
        <v>0</v>
      </c>
      <c r="BN249">
        <v>0</v>
      </c>
      <c r="BO249">
        <v>0</v>
      </c>
      <c r="BP249">
        <v>0</v>
      </c>
    </row>
    <row r="250" spans="64:68" x14ac:dyDescent="0.3">
      <c r="BL250">
        <v>19</v>
      </c>
      <c r="BM250">
        <v>1</v>
      </c>
      <c r="BN250">
        <v>1</v>
      </c>
      <c r="BO250">
        <v>0</v>
      </c>
      <c r="BP250">
        <v>1</v>
      </c>
    </row>
    <row r="251" spans="64:68" x14ac:dyDescent="0.3">
      <c r="BL251">
        <v>19</v>
      </c>
      <c r="BM251">
        <v>1</v>
      </c>
      <c r="BN251">
        <v>1</v>
      </c>
      <c r="BO251">
        <v>1</v>
      </c>
      <c r="BP251">
        <v>1</v>
      </c>
    </row>
    <row r="252" spans="64:68" x14ac:dyDescent="0.3">
      <c r="BL252">
        <v>40</v>
      </c>
      <c r="BM252">
        <v>1</v>
      </c>
      <c r="BN252">
        <v>1</v>
      </c>
      <c r="BO252">
        <v>1</v>
      </c>
      <c r="BP252">
        <v>1</v>
      </c>
    </row>
    <row r="253" spans="64:68" x14ac:dyDescent="0.3">
      <c r="BL253">
        <v>10</v>
      </c>
      <c r="BM253">
        <v>0</v>
      </c>
      <c r="BN253">
        <v>0</v>
      </c>
      <c r="BO253">
        <v>1</v>
      </c>
      <c r="BP253">
        <v>0</v>
      </c>
    </row>
    <row r="254" spans="64:68" x14ac:dyDescent="0.3">
      <c r="BL254">
        <v>20</v>
      </c>
      <c r="BM254">
        <v>0</v>
      </c>
      <c r="BN254">
        <v>0</v>
      </c>
      <c r="BO254">
        <v>0</v>
      </c>
      <c r="BP254">
        <v>0</v>
      </c>
    </row>
    <row r="255" spans="64:68" x14ac:dyDescent="0.3">
      <c r="BL255">
        <v>26</v>
      </c>
      <c r="BM255">
        <v>0</v>
      </c>
      <c r="BN255">
        <v>0</v>
      </c>
      <c r="BO255">
        <v>0</v>
      </c>
      <c r="BP255">
        <v>0</v>
      </c>
    </row>
    <row r="256" spans="64:68" x14ac:dyDescent="0.3">
      <c r="BL256">
        <v>29</v>
      </c>
      <c r="BM256">
        <v>0</v>
      </c>
      <c r="BN256">
        <v>0</v>
      </c>
      <c r="BO256">
        <v>0</v>
      </c>
      <c r="BP256">
        <v>0</v>
      </c>
    </row>
    <row r="257" spans="64:68" x14ac:dyDescent="0.3">
      <c r="BL257">
        <v>39</v>
      </c>
      <c r="BM257">
        <v>1</v>
      </c>
      <c r="BN257">
        <v>1</v>
      </c>
      <c r="BO257">
        <v>1</v>
      </c>
      <c r="BP257">
        <v>1</v>
      </c>
    </row>
    <row r="258" spans="64:68" x14ac:dyDescent="0.3">
      <c r="BL258">
        <v>65</v>
      </c>
      <c r="BM258">
        <v>1</v>
      </c>
      <c r="BN258">
        <v>1</v>
      </c>
      <c r="BO258">
        <v>1</v>
      </c>
      <c r="BP258">
        <v>1</v>
      </c>
    </row>
    <row r="259" spans="64:68" x14ac:dyDescent="0.3">
      <c r="BL259">
        <v>38</v>
      </c>
      <c r="BM259">
        <v>0</v>
      </c>
      <c r="BN259">
        <v>0</v>
      </c>
      <c r="BO259">
        <v>1</v>
      </c>
      <c r="BP259">
        <v>0</v>
      </c>
    </row>
    <row r="260" spans="64:68" x14ac:dyDescent="0.3">
      <c r="BL260">
        <v>14</v>
      </c>
      <c r="BM260">
        <v>0</v>
      </c>
      <c r="BN260">
        <v>0</v>
      </c>
      <c r="BO260">
        <v>0</v>
      </c>
      <c r="BP260">
        <v>0</v>
      </c>
    </row>
    <row r="261" spans="64:68" x14ac:dyDescent="0.3">
      <c r="BL261">
        <v>62</v>
      </c>
      <c r="BM261">
        <v>0</v>
      </c>
      <c r="BN261">
        <v>0</v>
      </c>
      <c r="BO261">
        <v>0</v>
      </c>
      <c r="BP261">
        <v>0</v>
      </c>
    </row>
    <row r="262" spans="64:68" x14ac:dyDescent="0.3">
      <c r="BL262">
        <v>37</v>
      </c>
      <c r="BM262">
        <v>0</v>
      </c>
      <c r="BN262">
        <v>0</v>
      </c>
      <c r="BO262">
        <v>1</v>
      </c>
      <c r="BP262">
        <v>0</v>
      </c>
    </row>
    <row r="263" spans="64:68" x14ac:dyDescent="0.3">
      <c r="BL263">
        <v>25</v>
      </c>
      <c r="BM263">
        <v>1</v>
      </c>
      <c r="BN263">
        <v>1</v>
      </c>
      <c r="BO263">
        <v>1</v>
      </c>
      <c r="BP263">
        <v>1</v>
      </c>
    </row>
    <row r="264" spans="64:68" x14ac:dyDescent="0.3">
      <c r="BL264">
        <v>64</v>
      </c>
      <c r="BM264">
        <v>1</v>
      </c>
      <c r="BN264">
        <v>1</v>
      </c>
      <c r="BO264">
        <v>0</v>
      </c>
      <c r="BP264">
        <v>1</v>
      </c>
    </row>
    <row r="265" spans="64:68" x14ac:dyDescent="0.3">
      <c r="BL265">
        <v>51</v>
      </c>
      <c r="BM265">
        <v>1</v>
      </c>
      <c r="BN265">
        <v>1</v>
      </c>
      <c r="BO265">
        <v>1</v>
      </c>
      <c r="BP265">
        <v>1</v>
      </c>
    </row>
    <row r="266" spans="64:68" x14ac:dyDescent="0.3">
      <c r="BL266">
        <v>11</v>
      </c>
      <c r="BM266">
        <v>0</v>
      </c>
      <c r="BN266">
        <v>0</v>
      </c>
      <c r="BO266">
        <v>1</v>
      </c>
      <c r="BP266">
        <v>0</v>
      </c>
    </row>
    <row r="267" spans="64:68" x14ac:dyDescent="0.3">
      <c r="BL267">
        <v>20</v>
      </c>
      <c r="BM267">
        <v>1</v>
      </c>
      <c r="BN267">
        <v>1</v>
      </c>
      <c r="BO267">
        <v>1</v>
      </c>
      <c r="BP267">
        <v>1</v>
      </c>
    </row>
    <row r="268" spans="64:68" x14ac:dyDescent="0.3">
      <c r="BL268">
        <v>8</v>
      </c>
      <c r="BM268">
        <v>0</v>
      </c>
      <c r="BN268">
        <v>0</v>
      </c>
      <c r="BO268">
        <v>0</v>
      </c>
      <c r="BP268">
        <v>0</v>
      </c>
    </row>
    <row r="269" spans="64:68" x14ac:dyDescent="0.3">
      <c r="BL269">
        <v>27</v>
      </c>
      <c r="BM269">
        <v>1</v>
      </c>
      <c r="BN269">
        <v>1</v>
      </c>
      <c r="BO269">
        <v>1</v>
      </c>
      <c r="BP269">
        <v>1</v>
      </c>
    </row>
    <row r="270" spans="64:68" x14ac:dyDescent="0.3">
      <c r="BL270">
        <v>44</v>
      </c>
      <c r="BM270">
        <v>1</v>
      </c>
      <c r="BN270">
        <v>1</v>
      </c>
      <c r="BO270">
        <v>1</v>
      </c>
      <c r="BP270">
        <v>1</v>
      </c>
    </row>
    <row r="271" spans="64:68" x14ac:dyDescent="0.3">
      <c r="BL271">
        <v>28</v>
      </c>
      <c r="BM271">
        <v>1</v>
      </c>
      <c r="BN271">
        <v>1</v>
      </c>
      <c r="BO271">
        <v>0</v>
      </c>
      <c r="BP271">
        <v>1</v>
      </c>
    </row>
    <row r="272" spans="64:68" x14ac:dyDescent="0.3">
      <c r="BL272">
        <v>38</v>
      </c>
      <c r="BM272">
        <v>0</v>
      </c>
      <c r="BN272">
        <v>0</v>
      </c>
      <c r="BO272">
        <v>0</v>
      </c>
      <c r="BP272">
        <v>0</v>
      </c>
    </row>
    <row r="273" spans="64:68" x14ac:dyDescent="0.3">
      <c r="BL273">
        <v>27</v>
      </c>
      <c r="BM273">
        <v>0</v>
      </c>
      <c r="BN273">
        <v>0</v>
      </c>
      <c r="BO273">
        <v>0</v>
      </c>
      <c r="BP273">
        <v>0</v>
      </c>
    </row>
    <row r="274" spans="64:68" x14ac:dyDescent="0.3">
      <c r="BL274">
        <v>36</v>
      </c>
      <c r="BM274">
        <v>1</v>
      </c>
      <c r="BN274">
        <v>1</v>
      </c>
      <c r="BO274">
        <v>0</v>
      </c>
      <c r="BP274">
        <v>1</v>
      </c>
    </row>
    <row r="275" spans="64:68" x14ac:dyDescent="0.3">
      <c r="BL275">
        <v>65</v>
      </c>
      <c r="BM275">
        <v>0</v>
      </c>
      <c r="BN275">
        <v>0</v>
      </c>
      <c r="BO275">
        <v>1</v>
      </c>
      <c r="BP275">
        <v>0</v>
      </c>
    </row>
    <row r="276" spans="64:68" x14ac:dyDescent="0.3">
      <c r="BL276">
        <v>38</v>
      </c>
      <c r="BM276">
        <v>1</v>
      </c>
      <c r="BN276">
        <v>1</v>
      </c>
      <c r="BO276">
        <v>0</v>
      </c>
      <c r="BP276">
        <v>1</v>
      </c>
    </row>
    <row r="277" spans="64:68" x14ac:dyDescent="0.3">
      <c r="BL277">
        <v>42</v>
      </c>
      <c r="BM277">
        <v>1</v>
      </c>
      <c r="BN277">
        <v>1</v>
      </c>
      <c r="BO277">
        <v>0</v>
      </c>
      <c r="BP277">
        <v>1</v>
      </c>
    </row>
    <row r="278" spans="64:68" x14ac:dyDescent="0.3">
      <c r="BL278">
        <v>10</v>
      </c>
      <c r="BM278">
        <v>1</v>
      </c>
      <c r="BN278">
        <v>1</v>
      </c>
      <c r="BO278">
        <v>1</v>
      </c>
      <c r="BP278">
        <v>1</v>
      </c>
    </row>
    <row r="279" spans="64:68" x14ac:dyDescent="0.3">
      <c r="BL279">
        <v>44</v>
      </c>
      <c r="BM279">
        <v>0</v>
      </c>
      <c r="BN279">
        <v>0</v>
      </c>
      <c r="BO279">
        <v>0</v>
      </c>
      <c r="BP279">
        <v>0</v>
      </c>
    </row>
    <row r="280" spans="64:68" x14ac:dyDescent="0.3">
      <c r="BL280">
        <v>19</v>
      </c>
      <c r="BM280">
        <v>1</v>
      </c>
      <c r="BN280">
        <v>1</v>
      </c>
      <c r="BO280">
        <v>1</v>
      </c>
      <c r="BP280">
        <v>1</v>
      </c>
    </row>
    <row r="281" spans="64:68" x14ac:dyDescent="0.3">
      <c r="BL281">
        <v>18</v>
      </c>
      <c r="BM281">
        <v>1</v>
      </c>
      <c r="BN281">
        <v>1</v>
      </c>
      <c r="BO281">
        <v>1</v>
      </c>
      <c r="BP281">
        <v>1</v>
      </c>
    </row>
    <row r="282" spans="64:68" x14ac:dyDescent="0.3">
      <c r="BL282">
        <v>29</v>
      </c>
      <c r="BM282">
        <v>0</v>
      </c>
      <c r="BN282">
        <v>0</v>
      </c>
      <c r="BO282">
        <v>1</v>
      </c>
      <c r="BP282">
        <v>0</v>
      </c>
    </row>
    <row r="283" spans="64:68" x14ac:dyDescent="0.3">
      <c r="BL283">
        <v>58</v>
      </c>
      <c r="BM283">
        <v>1</v>
      </c>
      <c r="BN283">
        <v>1</v>
      </c>
      <c r="BO283">
        <v>1</v>
      </c>
      <c r="BP283">
        <v>1</v>
      </c>
    </row>
    <row r="284" spans="64:68" x14ac:dyDescent="0.3">
      <c r="BL284">
        <v>45</v>
      </c>
      <c r="BM284">
        <v>1</v>
      </c>
      <c r="BN284">
        <v>1</v>
      </c>
      <c r="BO284">
        <v>1</v>
      </c>
      <c r="BP284">
        <v>1</v>
      </c>
    </row>
    <row r="285" spans="64:68" x14ac:dyDescent="0.3">
      <c r="BL285">
        <v>40</v>
      </c>
      <c r="BM285">
        <v>1</v>
      </c>
      <c r="BN285">
        <v>1</v>
      </c>
      <c r="BO285">
        <v>0</v>
      </c>
      <c r="BP285">
        <v>1</v>
      </c>
    </row>
    <row r="286" spans="64:68" x14ac:dyDescent="0.3">
      <c r="BL286">
        <v>20</v>
      </c>
      <c r="BM286">
        <v>0</v>
      </c>
      <c r="BN286">
        <v>0</v>
      </c>
      <c r="BO286">
        <v>0</v>
      </c>
      <c r="BP286">
        <v>0</v>
      </c>
    </row>
    <row r="287" spans="64:68" x14ac:dyDescent="0.3">
      <c r="BL287">
        <v>41</v>
      </c>
      <c r="BM287">
        <v>0</v>
      </c>
      <c r="BN287">
        <v>0</v>
      </c>
      <c r="BO287">
        <v>0</v>
      </c>
      <c r="BP287">
        <v>0</v>
      </c>
    </row>
    <row r="288" spans="64:68" x14ac:dyDescent="0.3">
      <c r="BL288">
        <v>23</v>
      </c>
      <c r="BM288">
        <v>1</v>
      </c>
      <c r="BN288">
        <v>1</v>
      </c>
      <c r="BO288">
        <v>0</v>
      </c>
      <c r="BP288">
        <v>1</v>
      </c>
    </row>
    <row r="289" spans="64:68" x14ac:dyDescent="0.3">
      <c r="BL289">
        <v>29</v>
      </c>
      <c r="BM289">
        <v>0</v>
      </c>
      <c r="BN289">
        <v>0</v>
      </c>
      <c r="BO289">
        <v>0</v>
      </c>
      <c r="BP289">
        <v>0</v>
      </c>
    </row>
    <row r="290" spans="64:68" x14ac:dyDescent="0.3">
      <c r="BL290">
        <v>48</v>
      </c>
      <c r="BM290">
        <v>1</v>
      </c>
      <c r="BN290">
        <v>1</v>
      </c>
      <c r="BO290">
        <v>1</v>
      </c>
      <c r="BP290">
        <v>1</v>
      </c>
    </row>
    <row r="291" spans="64:68" x14ac:dyDescent="0.3">
      <c r="BL291">
        <v>17</v>
      </c>
      <c r="BM291">
        <v>0</v>
      </c>
      <c r="BN291">
        <v>0</v>
      </c>
      <c r="BO291">
        <v>0</v>
      </c>
      <c r="BP291">
        <v>0</v>
      </c>
    </row>
    <row r="292" spans="64:68" x14ac:dyDescent="0.3">
      <c r="BL292">
        <v>62</v>
      </c>
      <c r="BM292">
        <v>0</v>
      </c>
      <c r="BN292">
        <v>0</v>
      </c>
      <c r="BO292">
        <v>0</v>
      </c>
      <c r="BP292">
        <v>0</v>
      </c>
    </row>
    <row r="293" spans="64:68" x14ac:dyDescent="0.3">
      <c r="BL293">
        <v>34</v>
      </c>
      <c r="BM293">
        <v>1</v>
      </c>
      <c r="BN293">
        <v>1</v>
      </c>
      <c r="BO293">
        <v>0</v>
      </c>
      <c r="BP293">
        <v>1</v>
      </c>
    </row>
    <row r="294" spans="64:68" x14ac:dyDescent="0.3">
      <c r="BL294">
        <v>8</v>
      </c>
      <c r="BM294">
        <v>1</v>
      </c>
      <c r="BN294">
        <v>1</v>
      </c>
      <c r="BO294">
        <v>0</v>
      </c>
      <c r="BP294">
        <v>1</v>
      </c>
    </row>
    <row r="295" spans="64:68" x14ac:dyDescent="0.3">
      <c r="BL295">
        <v>22</v>
      </c>
      <c r="BM295">
        <v>0</v>
      </c>
      <c r="BN295">
        <v>0</v>
      </c>
      <c r="BO295">
        <v>0</v>
      </c>
      <c r="BP295">
        <v>0</v>
      </c>
    </row>
    <row r="296" spans="64:68" x14ac:dyDescent="0.3">
      <c r="BL296">
        <v>23</v>
      </c>
      <c r="BM296">
        <v>0</v>
      </c>
      <c r="BN296">
        <v>0</v>
      </c>
      <c r="BO296">
        <v>1</v>
      </c>
      <c r="BP296">
        <v>0</v>
      </c>
    </row>
    <row r="297" spans="64:68" x14ac:dyDescent="0.3">
      <c r="BL297">
        <v>47</v>
      </c>
      <c r="BM297">
        <v>0</v>
      </c>
      <c r="BN297">
        <v>0</v>
      </c>
      <c r="BO297">
        <v>0</v>
      </c>
      <c r="BP297">
        <v>0</v>
      </c>
    </row>
    <row r="298" spans="64:68" x14ac:dyDescent="0.3">
      <c r="BL298">
        <v>50</v>
      </c>
      <c r="BM298">
        <v>0</v>
      </c>
      <c r="BN298">
        <v>0</v>
      </c>
      <c r="BO298">
        <v>1</v>
      </c>
      <c r="BP298">
        <v>0</v>
      </c>
    </row>
    <row r="299" spans="64:68" x14ac:dyDescent="0.3">
      <c r="BL299">
        <v>15</v>
      </c>
      <c r="BM299">
        <v>0</v>
      </c>
      <c r="BN299">
        <v>0</v>
      </c>
      <c r="BO299">
        <v>0</v>
      </c>
      <c r="BP299">
        <v>0</v>
      </c>
    </row>
    <row r="300" spans="64:68" x14ac:dyDescent="0.3">
      <c r="BL300">
        <v>11</v>
      </c>
      <c r="BM300">
        <v>1</v>
      </c>
      <c r="BN300">
        <v>1</v>
      </c>
      <c r="BO300">
        <v>0</v>
      </c>
      <c r="BP300">
        <v>1</v>
      </c>
    </row>
    <row r="301" spans="64:68" x14ac:dyDescent="0.3">
      <c r="BL301">
        <v>46</v>
      </c>
      <c r="BM301">
        <v>1</v>
      </c>
      <c r="BN301">
        <v>1</v>
      </c>
      <c r="BO301">
        <v>0</v>
      </c>
      <c r="BP301">
        <v>1</v>
      </c>
    </row>
    <row r="302" spans="64:68" x14ac:dyDescent="0.3">
      <c r="BL302">
        <v>52</v>
      </c>
      <c r="BM302">
        <v>1</v>
      </c>
      <c r="BN302">
        <v>1</v>
      </c>
      <c r="BO302">
        <v>0</v>
      </c>
      <c r="BP302">
        <v>1</v>
      </c>
    </row>
    <row r="303" spans="64:68" x14ac:dyDescent="0.3">
      <c r="BL303">
        <v>44</v>
      </c>
      <c r="BM303">
        <v>0</v>
      </c>
      <c r="BN303">
        <v>0</v>
      </c>
      <c r="BO303">
        <v>1</v>
      </c>
      <c r="BP303">
        <v>0</v>
      </c>
    </row>
    <row r="304" spans="64:68" x14ac:dyDescent="0.3">
      <c r="BL304">
        <v>12</v>
      </c>
      <c r="BM304">
        <v>0</v>
      </c>
      <c r="BN304">
        <v>0</v>
      </c>
      <c r="BO304">
        <v>1</v>
      </c>
      <c r="BP304">
        <v>0</v>
      </c>
    </row>
    <row r="305" spans="64:68" x14ac:dyDescent="0.3">
      <c r="BL305">
        <v>30</v>
      </c>
      <c r="BM305">
        <v>0</v>
      </c>
      <c r="BN305">
        <v>0</v>
      </c>
      <c r="BO305">
        <v>0</v>
      </c>
      <c r="BP305">
        <v>0</v>
      </c>
    </row>
    <row r="306" spans="64:68" x14ac:dyDescent="0.3">
      <c r="BL306">
        <v>41</v>
      </c>
      <c r="BM306">
        <v>0</v>
      </c>
      <c r="BN306">
        <v>0</v>
      </c>
      <c r="BO306">
        <v>0</v>
      </c>
      <c r="BP306">
        <v>0</v>
      </c>
    </row>
    <row r="307" spans="64:68" x14ac:dyDescent="0.3">
      <c r="BL307">
        <v>62</v>
      </c>
      <c r="BM307">
        <v>1</v>
      </c>
      <c r="BN307">
        <v>1</v>
      </c>
      <c r="BO307">
        <v>0</v>
      </c>
      <c r="BP307">
        <v>1</v>
      </c>
    </row>
    <row r="308" spans="64:68" x14ac:dyDescent="0.3">
      <c r="BL308">
        <v>42</v>
      </c>
      <c r="BM308">
        <v>1</v>
      </c>
      <c r="BN308">
        <v>1</v>
      </c>
      <c r="BO308">
        <v>0</v>
      </c>
      <c r="BP308">
        <v>1</v>
      </c>
    </row>
    <row r="309" spans="64:68" x14ac:dyDescent="0.3">
      <c r="BL309">
        <v>38</v>
      </c>
      <c r="BM309">
        <v>1</v>
      </c>
      <c r="BN309">
        <v>1</v>
      </c>
      <c r="BO309">
        <v>0</v>
      </c>
      <c r="BP309">
        <v>1</v>
      </c>
    </row>
    <row r="310" spans="64:68" x14ac:dyDescent="0.3">
      <c r="BL310">
        <v>46</v>
      </c>
      <c r="BM310">
        <v>0</v>
      </c>
      <c r="BN310">
        <v>0</v>
      </c>
      <c r="BO310">
        <v>0</v>
      </c>
      <c r="BP310">
        <v>0</v>
      </c>
    </row>
    <row r="311" spans="64:68" x14ac:dyDescent="0.3">
      <c r="BL311">
        <v>44</v>
      </c>
      <c r="BM311">
        <v>0</v>
      </c>
      <c r="BN311">
        <v>0</v>
      </c>
      <c r="BO311">
        <v>0</v>
      </c>
      <c r="BP311">
        <v>0</v>
      </c>
    </row>
    <row r="312" spans="64:68" x14ac:dyDescent="0.3">
      <c r="BL312">
        <v>48</v>
      </c>
      <c r="BM312">
        <v>1</v>
      </c>
      <c r="BN312">
        <v>1</v>
      </c>
      <c r="BO312">
        <v>0</v>
      </c>
      <c r="BP312">
        <v>1</v>
      </c>
    </row>
    <row r="313" spans="64:68" x14ac:dyDescent="0.3">
      <c r="BL313">
        <v>42</v>
      </c>
      <c r="BM313">
        <v>0</v>
      </c>
      <c r="BN313">
        <v>0</v>
      </c>
      <c r="BO313">
        <v>1</v>
      </c>
      <c r="BP313">
        <v>0</v>
      </c>
    </row>
    <row r="314" spans="64:68" x14ac:dyDescent="0.3">
      <c r="BL314">
        <v>41</v>
      </c>
      <c r="BM314">
        <v>1</v>
      </c>
      <c r="BN314">
        <v>1</v>
      </c>
      <c r="BO314">
        <v>0</v>
      </c>
      <c r="BP314">
        <v>1</v>
      </c>
    </row>
    <row r="315" spans="64:68" x14ac:dyDescent="0.3">
      <c r="BL315">
        <v>15</v>
      </c>
      <c r="BM315">
        <v>0</v>
      </c>
      <c r="BN315">
        <v>0</v>
      </c>
      <c r="BO315">
        <v>0</v>
      </c>
      <c r="BP315">
        <v>0</v>
      </c>
    </row>
    <row r="316" spans="64:68" x14ac:dyDescent="0.3">
      <c r="BL316">
        <v>15</v>
      </c>
      <c r="BM316">
        <v>1</v>
      </c>
      <c r="BN316">
        <v>1</v>
      </c>
      <c r="BO316">
        <v>1</v>
      </c>
      <c r="BP316">
        <v>1</v>
      </c>
    </row>
    <row r="317" spans="64:68" x14ac:dyDescent="0.3">
      <c r="BL317">
        <v>64</v>
      </c>
      <c r="BM317">
        <v>0</v>
      </c>
      <c r="BN317">
        <v>0</v>
      </c>
      <c r="BO317">
        <v>1</v>
      </c>
      <c r="BP317">
        <v>0</v>
      </c>
    </row>
    <row r="318" spans="64:68" x14ac:dyDescent="0.3">
      <c r="BL318">
        <v>16</v>
      </c>
      <c r="BM318">
        <v>1</v>
      </c>
      <c r="BN318">
        <v>1</v>
      </c>
      <c r="BO318">
        <v>0</v>
      </c>
      <c r="BP318">
        <v>1</v>
      </c>
    </row>
    <row r="319" spans="64:68" x14ac:dyDescent="0.3">
      <c r="BL319">
        <v>19</v>
      </c>
      <c r="BM319">
        <v>1</v>
      </c>
      <c r="BN319">
        <v>1</v>
      </c>
      <c r="BO319">
        <v>0</v>
      </c>
      <c r="BP319">
        <v>1</v>
      </c>
    </row>
    <row r="320" spans="64:68" x14ac:dyDescent="0.3">
      <c r="BL320">
        <v>56</v>
      </c>
      <c r="BM320">
        <v>0</v>
      </c>
      <c r="BN320">
        <v>0</v>
      </c>
      <c r="BO320">
        <v>0</v>
      </c>
      <c r="BP320">
        <v>0</v>
      </c>
    </row>
    <row r="321" spans="64:68" x14ac:dyDescent="0.3">
      <c r="BL321">
        <v>65</v>
      </c>
      <c r="BM321">
        <v>1</v>
      </c>
      <c r="BN321">
        <v>1</v>
      </c>
      <c r="BO321">
        <v>1</v>
      </c>
      <c r="BP321">
        <v>1</v>
      </c>
    </row>
    <row r="322" spans="64:68" x14ac:dyDescent="0.3">
      <c r="BL322">
        <v>57</v>
      </c>
      <c r="BM322">
        <v>1</v>
      </c>
      <c r="BN322">
        <v>1</v>
      </c>
      <c r="BO322">
        <v>1</v>
      </c>
      <c r="BP322">
        <v>1</v>
      </c>
    </row>
    <row r="323" spans="64:68" x14ac:dyDescent="0.3">
      <c r="BL323">
        <v>24</v>
      </c>
      <c r="BM323">
        <v>0</v>
      </c>
      <c r="BN323">
        <v>0</v>
      </c>
      <c r="BO323">
        <v>0</v>
      </c>
      <c r="BP323">
        <v>0</v>
      </c>
    </row>
    <row r="324" spans="64:68" x14ac:dyDescent="0.3">
      <c r="BL324">
        <v>38</v>
      </c>
      <c r="BM324">
        <v>0</v>
      </c>
      <c r="BN324">
        <v>0</v>
      </c>
      <c r="BO324">
        <v>1</v>
      </c>
      <c r="BP324">
        <v>0</v>
      </c>
    </row>
    <row r="325" spans="64:68" x14ac:dyDescent="0.3">
      <c r="BL325">
        <v>39</v>
      </c>
      <c r="BM325">
        <v>0</v>
      </c>
      <c r="BN325">
        <v>0</v>
      </c>
      <c r="BO325">
        <v>1</v>
      </c>
      <c r="BP325">
        <v>0</v>
      </c>
    </row>
    <row r="326" spans="64:68" x14ac:dyDescent="0.3">
      <c r="BL326">
        <v>64</v>
      </c>
      <c r="BM326">
        <v>0</v>
      </c>
      <c r="BN326">
        <v>0</v>
      </c>
      <c r="BO326">
        <v>0</v>
      </c>
      <c r="BP326">
        <v>0</v>
      </c>
    </row>
    <row r="327" spans="64:68" x14ac:dyDescent="0.3">
      <c r="BL327">
        <v>39</v>
      </c>
      <c r="BM327">
        <v>1</v>
      </c>
      <c r="BN327">
        <v>1</v>
      </c>
      <c r="BO327">
        <v>1</v>
      </c>
      <c r="BP327">
        <v>1</v>
      </c>
    </row>
    <row r="328" spans="64:68" x14ac:dyDescent="0.3">
      <c r="BL328">
        <v>33</v>
      </c>
      <c r="BM328">
        <v>1</v>
      </c>
      <c r="BN328">
        <v>1</v>
      </c>
      <c r="BO328">
        <v>0</v>
      </c>
      <c r="BP328">
        <v>1</v>
      </c>
    </row>
    <row r="329" spans="64:68" x14ac:dyDescent="0.3">
      <c r="BL329">
        <v>49</v>
      </c>
      <c r="BM329">
        <v>1</v>
      </c>
      <c r="BN329">
        <v>1</v>
      </c>
      <c r="BO329">
        <v>0</v>
      </c>
      <c r="BP329">
        <v>1</v>
      </c>
    </row>
    <row r="330" spans="64:68" x14ac:dyDescent="0.3">
      <c r="BL330">
        <v>22</v>
      </c>
      <c r="BM330">
        <v>1</v>
      </c>
      <c r="BN330">
        <v>1</v>
      </c>
      <c r="BO330">
        <v>1</v>
      </c>
      <c r="BP330">
        <v>1</v>
      </c>
    </row>
    <row r="331" spans="64:68" x14ac:dyDescent="0.3">
      <c r="BL331">
        <v>29</v>
      </c>
      <c r="BM331">
        <v>0</v>
      </c>
      <c r="BN331">
        <v>0</v>
      </c>
      <c r="BO331">
        <v>0</v>
      </c>
      <c r="BP331">
        <v>0</v>
      </c>
    </row>
    <row r="332" spans="64:68" x14ac:dyDescent="0.3">
      <c r="BL332">
        <v>22</v>
      </c>
      <c r="BM332">
        <v>1</v>
      </c>
      <c r="BN332">
        <v>1</v>
      </c>
      <c r="BO332">
        <v>0</v>
      </c>
      <c r="BP332">
        <v>1</v>
      </c>
    </row>
    <row r="333" spans="64:68" x14ac:dyDescent="0.3">
      <c r="BL333">
        <v>13</v>
      </c>
      <c r="BM333">
        <v>1</v>
      </c>
      <c r="BN333">
        <v>1</v>
      </c>
      <c r="BO333">
        <v>0</v>
      </c>
      <c r="BP333">
        <v>1</v>
      </c>
    </row>
    <row r="334" spans="64:68" x14ac:dyDescent="0.3">
      <c r="BL334">
        <v>11</v>
      </c>
      <c r="BM334">
        <v>1</v>
      </c>
      <c r="BN334">
        <v>1</v>
      </c>
      <c r="BO334">
        <v>0</v>
      </c>
      <c r="BP334">
        <v>1</v>
      </c>
    </row>
    <row r="335" spans="64:68" x14ac:dyDescent="0.3">
      <c r="BL335">
        <v>41</v>
      </c>
      <c r="BM335">
        <v>1</v>
      </c>
      <c r="BN335">
        <v>1</v>
      </c>
      <c r="BO335">
        <v>1</v>
      </c>
      <c r="BP335">
        <v>1</v>
      </c>
    </row>
    <row r="336" spans="64:68" x14ac:dyDescent="0.3">
      <c r="BL336">
        <v>61</v>
      </c>
      <c r="BM336">
        <v>1</v>
      </c>
      <c r="BN336">
        <v>1</v>
      </c>
      <c r="BO336">
        <v>1</v>
      </c>
      <c r="BP336">
        <v>1</v>
      </c>
    </row>
    <row r="337" spans="64:68" x14ac:dyDescent="0.3">
      <c r="BL337">
        <v>60</v>
      </c>
      <c r="BM337">
        <v>0</v>
      </c>
      <c r="BN337">
        <v>0</v>
      </c>
      <c r="BO337">
        <v>1</v>
      </c>
      <c r="BP337">
        <v>0</v>
      </c>
    </row>
    <row r="338" spans="64:68" x14ac:dyDescent="0.3">
      <c r="BL338">
        <v>21</v>
      </c>
      <c r="BM338">
        <v>1</v>
      </c>
      <c r="BN338">
        <v>1</v>
      </c>
      <c r="BO338">
        <v>0</v>
      </c>
      <c r="BP338">
        <v>1</v>
      </c>
    </row>
    <row r="339" spans="64:68" x14ac:dyDescent="0.3">
      <c r="BL339">
        <v>25</v>
      </c>
      <c r="BM339">
        <v>1</v>
      </c>
      <c r="BN339">
        <v>1</v>
      </c>
      <c r="BO339">
        <v>1</v>
      </c>
      <c r="BP339">
        <v>1</v>
      </c>
    </row>
    <row r="340" spans="64:68" x14ac:dyDescent="0.3">
      <c r="BL340">
        <v>57</v>
      </c>
      <c r="BM340">
        <v>1</v>
      </c>
      <c r="BN340">
        <v>1</v>
      </c>
      <c r="BO340">
        <v>0</v>
      </c>
      <c r="BP340">
        <v>1</v>
      </c>
    </row>
    <row r="341" spans="64:68" x14ac:dyDescent="0.3">
      <c r="BL341">
        <v>22</v>
      </c>
      <c r="BM341">
        <v>1</v>
      </c>
      <c r="BN341">
        <v>1</v>
      </c>
      <c r="BO341">
        <v>1</v>
      </c>
      <c r="BP341">
        <v>1</v>
      </c>
    </row>
    <row r="342" spans="64:68" x14ac:dyDescent="0.3">
      <c r="BL342">
        <v>9</v>
      </c>
      <c r="BM342">
        <v>1</v>
      </c>
      <c r="BN342">
        <v>1</v>
      </c>
      <c r="BO342">
        <v>0</v>
      </c>
      <c r="BP342">
        <v>1</v>
      </c>
    </row>
    <row r="343" spans="64:68" x14ac:dyDescent="0.3">
      <c r="BL343">
        <v>56</v>
      </c>
      <c r="BM343">
        <v>0</v>
      </c>
      <c r="BN343">
        <v>0</v>
      </c>
      <c r="BO343">
        <v>1</v>
      </c>
      <c r="BP343">
        <v>0</v>
      </c>
    </row>
    <row r="344" spans="64:68" x14ac:dyDescent="0.3">
      <c r="BL344">
        <v>44</v>
      </c>
      <c r="BM344">
        <v>1</v>
      </c>
      <c r="BN344">
        <v>1</v>
      </c>
      <c r="BO344">
        <v>0</v>
      </c>
      <c r="BP344">
        <v>1</v>
      </c>
    </row>
    <row r="345" spans="64:68" x14ac:dyDescent="0.3">
      <c r="BL345">
        <v>59</v>
      </c>
      <c r="BM345">
        <v>1</v>
      </c>
      <c r="BN345">
        <v>1</v>
      </c>
      <c r="BO345">
        <v>0</v>
      </c>
      <c r="BP345">
        <v>1</v>
      </c>
    </row>
    <row r="346" spans="64:68" x14ac:dyDescent="0.3">
      <c r="BL346">
        <v>40</v>
      </c>
      <c r="BM346">
        <v>0</v>
      </c>
      <c r="BN346">
        <v>0</v>
      </c>
      <c r="BO346">
        <v>0</v>
      </c>
      <c r="BP346">
        <v>0</v>
      </c>
    </row>
    <row r="347" spans="64:68" x14ac:dyDescent="0.3">
      <c r="BL347">
        <v>64</v>
      </c>
      <c r="BM347">
        <v>1</v>
      </c>
      <c r="BN347">
        <v>1</v>
      </c>
      <c r="BO347">
        <v>0</v>
      </c>
      <c r="BP347">
        <v>1</v>
      </c>
    </row>
    <row r="348" spans="64:68" x14ac:dyDescent="0.3">
      <c r="BL348">
        <v>62</v>
      </c>
      <c r="BM348">
        <v>1</v>
      </c>
      <c r="BN348">
        <v>1</v>
      </c>
      <c r="BO348">
        <v>0</v>
      </c>
      <c r="BP348">
        <v>1</v>
      </c>
    </row>
    <row r="349" spans="64:68" x14ac:dyDescent="0.3">
      <c r="BL349">
        <v>40</v>
      </c>
      <c r="BM349">
        <v>1</v>
      </c>
      <c r="BN349">
        <v>1</v>
      </c>
      <c r="BO349">
        <v>1</v>
      </c>
      <c r="BP349">
        <v>1</v>
      </c>
    </row>
    <row r="350" spans="64:68" x14ac:dyDescent="0.3">
      <c r="BL350">
        <v>26</v>
      </c>
      <c r="BM350">
        <v>1</v>
      </c>
      <c r="BN350">
        <v>1</v>
      </c>
      <c r="BO350">
        <v>1</v>
      </c>
      <c r="BP350">
        <v>1</v>
      </c>
    </row>
    <row r="351" spans="64:68" x14ac:dyDescent="0.3">
      <c r="BL351">
        <v>47</v>
      </c>
      <c r="BM351">
        <v>1</v>
      </c>
      <c r="BN351">
        <v>1</v>
      </c>
      <c r="BO351">
        <v>1</v>
      </c>
      <c r="BP351">
        <v>1</v>
      </c>
    </row>
    <row r="352" spans="64:68" x14ac:dyDescent="0.3">
      <c r="BL352">
        <v>56</v>
      </c>
      <c r="BM352">
        <v>0</v>
      </c>
      <c r="BN352">
        <v>0</v>
      </c>
      <c r="BO352">
        <v>0</v>
      </c>
      <c r="BP352">
        <v>0</v>
      </c>
    </row>
    <row r="353" spans="64:68" x14ac:dyDescent="0.3">
      <c r="BL353">
        <v>19</v>
      </c>
      <c r="BM353">
        <v>1</v>
      </c>
      <c r="BN353">
        <v>1</v>
      </c>
      <c r="BO353">
        <v>1</v>
      </c>
      <c r="BP353">
        <v>1</v>
      </c>
    </row>
    <row r="354" spans="64:68" x14ac:dyDescent="0.3">
      <c r="BL354">
        <v>17</v>
      </c>
      <c r="BM354">
        <v>0</v>
      </c>
      <c r="BN354">
        <v>0</v>
      </c>
      <c r="BO354">
        <v>1</v>
      </c>
      <c r="BP354">
        <v>0</v>
      </c>
    </row>
    <row r="355" spans="64:68" x14ac:dyDescent="0.3">
      <c r="BL355">
        <v>57</v>
      </c>
      <c r="BM355">
        <v>1</v>
      </c>
      <c r="BN355">
        <v>1</v>
      </c>
      <c r="BO355">
        <v>0</v>
      </c>
      <c r="BP355">
        <v>1</v>
      </c>
    </row>
    <row r="356" spans="64:68" x14ac:dyDescent="0.3">
      <c r="BL356">
        <v>47</v>
      </c>
      <c r="BM356">
        <v>1</v>
      </c>
      <c r="BN356">
        <v>1</v>
      </c>
      <c r="BO356">
        <v>1</v>
      </c>
      <c r="BP356">
        <v>1</v>
      </c>
    </row>
    <row r="357" spans="64:68" x14ac:dyDescent="0.3">
      <c r="BL357">
        <v>44</v>
      </c>
      <c r="BM357">
        <v>1</v>
      </c>
      <c r="BN357">
        <v>1</v>
      </c>
      <c r="BO357">
        <v>0</v>
      </c>
      <c r="BP357">
        <v>1</v>
      </c>
    </row>
    <row r="358" spans="64:68" x14ac:dyDescent="0.3">
      <c r="BL358">
        <v>18</v>
      </c>
      <c r="BM358">
        <v>0</v>
      </c>
      <c r="BN358">
        <v>0</v>
      </c>
      <c r="BO358">
        <v>0</v>
      </c>
      <c r="BP358">
        <v>0</v>
      </c>
    </row>
    <row r="359" spans="64:68" x14ac:dyDescent="0.3">
      <c r="BL359">
        <v>44</v>
      </c>
      <c r="BM359">
        <v>1</v>
      </c>
      <c r="BN359">
        <v>1</v>
      </c>
      <c r="BO359">
        <v>0</v>
      </c>
      <c r="BP359">
        <v>1</v>
      </c>
    </row>
    <row r="360" spans="64:68" x14ac:dyDescent="0.3">
      <c r="BL360">
        <v>20</v>
      </c>
      <c r="BM360">
        <v>1</v>
      </c>
      <c r="BN360">
        <v>1</v>
      </c>
      <c r="BO360">
        <v>1</v>
      </c>
      <c r="BP360">
        <v>1</v>
      </c>
    </row>
    <row r="361" spans="64:68" x14ac:dyDescent="0.3">
      <c r="BL361">
        <v>61</v>
      </c>
      <c r="BM361">
        <v>0</v>
      </c>
      <c r="BN361">
        <v>0</v>
      </c>
      <c r="BO361">
        <v>0</v>
      </c>
      <c r="BP361">
        <v>0</v>
      </c>
    </row>
    <row r="362" spans="64:68" x14ac:dyDescent="0.3">
      <c r="BL362">
        <v>47</v>
      </c>
      <c r="BM362">
        <v>0</v>
      </c>
      <c r="BN362">
        <v>0</v>
      </c>
      <c r="BO362">
        <v>0</v>
      </c>
      <c r="BP362">
        <v>0</v>
      </c>
    </row>
    <row r="363" spans="64:68" x14ac:dyDescent="0.3">
      <c r="BL363">
        <v>15</v>
      </c>
      <c r="BM363">
        <v>1</v>
      </c>
      <c r="BN363">
        <v>1</v>
      </c>
      <c r="BO363">
        <v>1</v>
      </c>
      <c r="BP363">
        <v>1</v>
      </c>
    </row>
    <row r="364" spans="64:68" x14ac:dyDescent="0.3">
      <c r="BL364">
        <v>58</v>
      </c>
      <c r="BM364">
        <v>0</v>
      </c>
      <c r="BN364">
        <v>0</v>
      </c>
      <c r="BO364">
        <v>1</v>
      </c>
      <c r="BP364">
        <v>0</v>
      </c>
    </row>
    <row r="365" spans="64:68" x14ac:dyDescent="0.3">
      <c r="BL365">
        <v>64</v>
      </c>
      <c r="BM365">
        <v>0</v>
      </c>
      <c r="BN365">
        <v>0</v>
      </c>
      <c r="BO365">
        <v>0</v>
      </c>
      <c r="BP365">
        <v>0</v>
      </c>
    </row>
    <row r="366" spans="64:68" x14ac:dyDescent="0.3">
      <c r="BL366">
        <v>50</v>
      </c>
      <c r="BM366">
        <v>1</v>
      </c>
      <c r="BN366">
        <v>1</v>
      </c>
      <c r="BO366">
        <v>1</v>
      </c>
      <c r="BP366">
        <v>1</v>
      </c>
    </row>
    <row r="367" spans="64:68" x14ac:dyDescent="0.3">
      <c r="BL367">
        <v>52</v>
      </c>
      <c r="BM367">
        <v>1</v>
      </c>
      <c r="BN367">
        <v>1</v>
      </c>
      <c r="BO367">
        <v>1</v>
      </c>
      <c r="BP367">
        <v>1</v>
      </c>
    </row>
    <row r="368" spans="64:68" x14ac:dyDescent="0.3">
      <c r="BL368">
        <v>59</v>
      </c>
      <c r="BM368">
        <v>1</v>
      </c>
      <c r="BN368">
        <v>1</v>
      </c>
      <c r="BO368">
        <v>0</v>
      </c>
      <c r="BP368">
        <v>1</v>
      </c>
    </row>
    <row r="369" spans="64:68" x14ac:dyDescent="0.3">
      <c r="BL369">
        <v>51</v>
      </c>
      <c r="BM369">
        <v>0</v>
      </c>
      <c r="BN369">
        <v>0</v>
      </c>
      <c r="BO369">
        <v>1</v>
      </c>
      <c r="BP369">
        <v>0</v>
      </c>
    </row>
    <row r="370" spans="64:68" x14ac:dyDescent="0.3">
      <c r="BL370">
        <v>16</v>
      </c>
      <c r="BM370">
        <v>0</v>
      </c>
      <c r="BN370">
        <v>0</v>
      </c>
      <c r="BO370">
        <v>1</v>
      </c>
      <c r="BP370">
        <v>0</v>
      </c>
    </row>
    <row r="371" spans="64:68" x14ac:dyDescent="0.3">
      <c r="BL371">
        <v>20</v>
      </c>
      <c r="BM371">
        <v>0</v>
      </c>
      <c r="BN371">
        <v>0</v>
      </c>
      <c r="BO371">
        <v>1</v>
      </c>
      <c r="BP371">
        <v>0</v>
      </c>
    </row>
    <row r="372" spans="64:68" x14ac:dyDescent="0.3">
      <c r="BL372">
        <v>48</v>
      </c>
      <c r="BM372">
        <v>1</v>
      </c>
      <c r="BN372">
        <v>1</v>
      </c>
      <c r="BO372">
        <v>1</v>
      </c>
      <c r="BP372">
        <v>1</v>
      </c>
    </row>
    <row r="373" spans="64:68" x14ac:dyDescent="0.3">
      <c r="BL373">
        <v>31</v>
      </c>
      <c r="BM373">
        <v>0</v>
      </c>
      <c r="BN373">
        <v>0</v>
      </c>
      <c r="BO373">
        <v>0</v>
      </c>
      <c r="BP373">
        <v>0</v>
      </c>
    </row>
    <row r="374" spans="64:68" x14ac:dyDescent="0.3">
      <c r="BL374">
        <v>53</v>
      </c>
      <c r="BM374">
        <v>1</v>
      </c>
      <c r="BN374">
        <v>1</v>
      </c>
      <c r="BO374">
        <v>1</v>
      </c>
      <c r="BP374">
        <v>1</v>
      </c>
    </row>
    <row r="375" spans="64:68" x14ac:dyDescent="0.3">
      <c r="BL375">
        <v>42</v>
      </c>
      <c r="BM375">
        <v>1</v>
      </c>
      <c r="BN375">
        <v>1</v>
      </c>
      <c r="BO375">
        <v>0</v>
      </c>
      <c r="BP375">
        <v>1</v>
      </c>
    </row>
    <row r="376" spans="64:68" x14ac:dyDescent="0.3">
      <c r="BL376">
        <v>9</v>
      </c>
      <c r="BM376">
        <v>1</v>
      </c>
      <c r="BN376">
        <v>1</v>
      </c>
      <c r="BO376">
        <v>1</v>
      </c>
      <c r="BP376">
        <v>1</v>
      </c>
    </row>
    <row r="377" spans="64:68" x14ac:dyDescent="0.3">
      <c r="BL377">
        <v>8</v>
      </c>
      <c r="BM377">
        <v>1</v>
      </c>
      <c r="BN377">
        <v>1</v>
      </c>
      <c r="BO377">
        <v>1</v>
      </c>
      <c r="BP377">
        <v>1</v>
      </c>
    </row>
    <row r="378" spans="64:68" x14ac:dyDescent="0.3">
      <c r="BL378">
        <v>17</v>
      </c>
      <c r="BM378">
        <v>0</v>
      </c>
      <c r="BN378">
        <v>0</v>
      </c>
      <c r="BO378">
        <v>1</v>
      </c>
      <c r="BP378">
        <v>0</v>
      </c>
    </row>
    <row r="379" spans="64:68" x14ac:dyDescent="0.3">
      <c r="BL379">
        <v>16</v>
      </c>
      <c r="BM379">
        <v>1</v>
      </c>
      <c r="BN379">
        <v>1</v>
      </c>
      <c r="BO379">
        <v>0</v>
      </c>
      <c r="BP379">
        <v>1</v>
      </c>
    </row>
    <row r="380" spans="64:68" x14ac:dyDescent="0.3">
      <c r="BL380">
        <v>15</v>
      </c>
      <c r="BM380">
        <v>1</v>
      </c>
      <c r="BN380">
        <v>1</v>
      </c>
      <c r="BO380">
        <v>1</v>
      </c>
      <c r="BP380">
        <v>1</v>
      </c>
    </row>
    <row r="381" spans="64:68" x14ac:dyDescent="0.3">
      <c r="BL381">
        <v>63</v>
      </c>
      <c r="BM381">
        <v>0</v>
      </c>
      <c r="BN381">
        <v>0</v>
      </c>
      <c r="BO381">
        <v>1</v>
      </c>
      <c r="BP381">
        <v>0</v>
      </c>
    </row>
    <row r="382" spans="64:68" x14ac:dyDescent="0.3">
      <c r="BL382">
        <v>35</v>
      </c>
      <c r="BM382">
        <v>1</v>
      </c>
      <c r="BN382">
        <v>1</v>
      </c>
      <c r="BO382">
        <v>1</v>
      </c>
      <c r="BP382">
        <v>1</v>
      </c>
    </row>
    <row r="383" spans="64:68" x14ac:dyDescent="0.3">
      <c r="BL383">
        <v>51</v>
      </c>
      <c r="BM383">
        <v>0</v>
      </c>
      <c r="BN383">
        <v>0</v>
      </c>
      <c r="BO383">
        <v>0</v>
      </c>
      <c r="BP383">
        <v>0</v>
      </c>
    </row>
    <row r="384" spans="64:68" x14ac:dyDescent="0.3">
      <c r="BL384">
        <v>33</v>
      </c>
      <c r="BM384">
        <v>0</v>
      </c>
      <c r="BN384">
        <v>0</v>
      </c>
      <c r="BO384">
        <v>0</v>
      </c>
      <c r="BP384">
        <v>0</v>
      </c>
    </row>
    <row r="385" spans="64:68" x14ac:dyDescent="0.3">
      <c r="BL385">
        <v>17</v>
      </c>
      <c r="BM385">
        <v>1</v>
      </c>
      <c r="BN385">
        <v>1</v>
      </c>
      <c r="BO385">
        <v>1</v>
      </c>
      <c r="BP385">
        <v>1</v>
      </c>
    </row>
    <row r="386" spans="64:68" x14ac:dyDescent="0.3">
      <c r="BL386">
        <v>50</v>
      </c>
      <c r="BM386">
        <v>0</v>
      </c>
      <c r="BN386">
        <v>0</v>
      </c>
      <c r="BO386">
        <v>1</v>
      </c>
      <c r="BP386">
        <v>0</v>
      </c>
    </row>
    <row r="387" spans="64:68" x14ac:dyDescent="0.3">
      <c r="BL387">
        <v>34</v>
      </c>
      <c r="BM387">
        <v>1</v>
      </c>
      <c r="BN387">
        <v>1</v>
      </c>
      <c r="BO387">
        <v>1</v>
      </c>
      <c r="BP387">
        <v>1</v>
      </c>
    </row>
    <row r="388" spans="64:68" x14ac:dyDescent="0.3">
      <c r="BL388">
        <v>26</v>
      </c>
      <c r="BM388">
        <v>1</v>
      </c>
      <c r="BN388">
        <v>1</v>
      </c>
      <c r="BO388">
        <v>1</v>
      </c>
      <c r="BP388">
        <v>1</v>
      </c>
    </row>
    <row r="389" spans="64:68" x14ac:dyDescent="0.3">
      <c r="BL389">
        <v>25</v>
      </c>
      <c r="BM389">
        <v>0</v>
      </c>
      <c r="BN389">
        <v>0</v>
      </c>
      <c r="BO389">
        <v>1</v>
      </c>
      <c r="BP389">
        <v>0</v>
      </c>
    </row>
    <row r="390" spans="64:68" x14ac:dyDescent="0.3">
      <c r="BL390">
        <v>58</v>
      </c>
      <c r="BM390">
        <v>0</v>
      </c>
      <c r="BN390">
        <v>0</v>
      </c>
      <c r="BO390">
        <v>0</v>
      </c>
      <c r="BP390">
        <v>0</v>
      </c>
    </row>
    <row r="391" spans="64:68" x14ac:dyDescent="0.3">
      <c r="BL391">
        <v>29</v>
      </c>
      <c r="BM391">
        <v>1</v>
      </c>
      <c r="BN391">
        <v>1</v>
      </c>
      <c r="BO391">
        <v>1</v>
      </c>
      <c r="BP391">
        <v>1</v>
      </c>
    </row>
    <row r="392" spans="64:68" x14ac:dyDescent="0.3">
      <c r="BL392">
        <v>38</v>
      </c>
      <c r="BM392">
        <v>0</v>
      </c>
      <c r="BN392">
        <v>0</v>
      </c>
      <c r="BO392">
        <v>0</v>
      </c>
      <c r="BP392">
        <v>0</v>
      </c>
    </row>
    <row r="393" spans="64:68" x14ac:dyDescent="0.3">
      <c r="BL393">
        <v>17</v>
      </c>
      <c r="BM393">
        <v>1</v>
      </c>
      <c r="BN393">
        <v>1</v>
      </c>
      <c r="BO393">
        <v>0</v>
      </c>
      <c r="BP393">
        <v>1</v>
      </c>
    </row>
    <row r="394" spans="64:68" x14ac:dyDescent="0.3">
      <c r="BL394">
        <v>59</v>
      </c>
      <c r="BM394">
        <v>0</v>
      </c>
      <c r="BN394">
        <v>0</v>
      </c>
      <c r="BO394">
        <v>1</v>
      </c>
      <c r="BP394">
        <v>0</v>
      </c>
    </row>
    <row r="395" spans="64:68" x14ac:dyDescent="0.3">
      <c r="BL395">
        <v>22</v>
      </c>
      <c r="BM395">
        <v>0</v>
      </c>
      <c r="BN395">
        <v>0</v>
      </c>
      <c r="BO395">
        <v>1</v>
      </c>
      <c r="BP395">
        <v>0</v>
      </c>
    </row>
    <row r="396" spans="64:68" x14ac:dyDescent="0.3">
      <c r="BL396">
        <v>18</v>
      </c>
      <c r="BM396">
        <v>1</v>
      </c>
      <c r="BN396">
        <v>1</v>
      </c>
      <c r="BO396">
        <v>0</v>
      </c>
      <c r="BP396">
        <v>1</v>
      </c>
    </row>
    <row r="397" spans="64:68" x14ac:dyDescent="0.3">
      <c r="BL397">
        <v>45</v>
      </c>
      <c r="BM397">
        <v>0</v>
      </c>
      <c r="BN397">
        <v>0</v>
      </c>
      <c r="BO397">
        <v>0</v>
      </c>
      <c r="BP397">
        <v>0</v>
      </c>
    </row>
    <row r="398" spans="64:68" x14ac:dyDescent="0.3">
      <c r="BL398">
        <v>9</v>
      </c>
      <c r="BM398">
        <v>1</v>
      </c>
      <c r="BN398">
        <v>1</v>
      </c>
      <c r="BO398">
        <v>0</v>
      </c>
      <c r="BP398">
        <v>1</v>
      </c>
    </row>
    <row r="399" spans="64:68" x14ac:dyDescent="0.3">
      <c r="BL399">
        <v>50</v>
      </c>
      <c r="BM399">
        <v>0</v>
      </c>
      <c r="BN399">
        <v>0</v>
      </c>
      <c r="BO399">
        <v>1</v>
      </c>
      <c r="BP399">
        <v>0</v>
      </c>
    </row>
    <row r="400" spans="64:68" x14ac:dyDescent="0.3">
      <c r="BL400">
        <v>50</v>
      </c>
      <c r="BM400">
        <v>1</v>
      </c>
      <c r="BN400">
        <v>1</v>
      </c>
      <c r="BO400">
        <v>0</v>
      </c>
      <c r="BP400">
        <v>1</v>
      </c>
    </row>
    <row r="401" spans="64:68" x14ac:dyDescent="0.3">
      <c r="BL401">
        <v>14</v>
      </c>
      <c r="BM401">
        <v>0</v>
      </c>
      <c r="BN401">
        <v>0</v>
      </c>
      <c r="BO401">
        <v>0</v>
      </c>
      <c r="BP401">
        <v>0</v>
      </c>
    </row>
    <row r="402" spans="64:68" x14ac:dyDescent="0.3">
      <c r="BL402">
        <v>40</v>
      </c>
      <c r="BM402">
        <v>0</v>
      </c>
      <c r="BN402">
        <v>0</v>
      </c>
      <c r="BO402">
        <v>1</v>
      </c>
      <c r="BP402">
        <v>0</v>
      </c>
    </row>
    <row r="403" spans="64:68" x14ac:dyDescent="0.3">
      <c r="BL403">
        <v>62</v>
      </c>
      <c r="BM403">
        <v>0</v>
      </c>
      <c r="BN403">
        <v>0</v>
      </c>
      <c r="BO403">
        <v>1</v>
      </c>
      <c r="BP403">
        <v>0</v>
      </c>
    </row>
    <row r="404" spans="64:68" x14ac:dyDescent="0.3">
      <c r="BL404">
        <v>40</v>
      </c>
      <c r="BM404">
        <v>1</v>
      </c>
      <c r="BN404">
        <v>1</v>
      </c>
      <c r="BO404">
        <v>1</v>
      </c>
      <c r="BP404">
        <v>1</v>
      </c>
    </row>
    <row r="405" spans="64:68" x14ac:dyDescent="0.3">
      <c r="BL405">
        <v>24</v>
      </c>
      <c r="BM405">
        <v>0</v>
      </c>
      <c r="BN405">
        <v>0</v>
      </c>
      <c r="BO405">
        <v>1</v>
      </c>
      <c r="BP405">
        <v>0</v>
      </c>
    </row>
    <row r="406" spans="64:68" x14ac:dyDescent="0.3">
      <c r="BL406">
        <v>21</v>
      </c>
      <c r="BM406">
        <v>0</v>
      </c>
      <c r="BN406">
        <v>0</v>
      </c>
      <c r="BO406">
        <v>1</v>
      </c>
      <c r="BP406">
        <v>0</v>
      </c>
    </row>
    <row r="407" spans="64:68" x14ac:dyDescent="0.3">
      <c r="BL407">
        <v>62</v>
      </c>
      <c r="BM407">
        <v>1</v>
      </c>
      <c r="BN407">
        <v>1</v>
      </c>
      <c r="BO407">
        <v>0</v>
      </c>
      <c r="BP407">
        <v>1</v>
      </c>
    </row>
    <row r="408" spans="64:68" x14ac:dyDescent="0.3">
      <c r="BL408">
        <v>16</v>
      </c>
      <c r="BM408">
        <v>1</v>
      </c>
      <c r="BN408">
        <v>1</v>
      </c>
      <c r="BO408">
        <v>1</v>
      </c>
      <c r="BP408">
        <v>1</v>
      </c>
    </row>
    <row r="409" spans="64:68" x14ac:dyDescent="0.3">
      <c r="BL409">
        <v>11</v>
      </c>
      <c r="BM409">
        <v>0</v>
      </c>
      <c r="BN409">
        <v>0</v>
      </c>
      <c r="BO409">
        <v>0</v>
      </c>
      <c r="BP409">
        <v>0</v>
      </c>
    </row>
    <row r="410" spans="64:68" x14ac:dyDescent="0.3">
      <c r="BL410">
        <v>30</v>
      </c>
      <c r="BM410">
        <v>1</v>
      </c>
      <c r="BN410">
        <v>1</v>
      </c>
      <c r="BO410">
        <v>0</v>
      </c>
      <c r="BP410">
        <v>1</v>
      </c>
    </row>
    <row r="411" spans="64:68" x14ac:dyDescent="0.3">
      <c r="BL411">
        <v>55</v>
      </c>
      <c r="BM411">
        <v>0</v>
      </c>
      <c r="BN411">
        <v>0</v>
      </c>
      <c r="BO411">
        <v>0</v>
      </c>
      <c r="BP411">
        <v>0</v>
      </c>
    </row>
    <row r="412" spans="64:68" x14ac:dyDescent="0.3">
      <c r="BL412">
        <v>24</v>
      </c>
      <c r="BM412">
        <v>0</v>
      </c>
      <c r="BN412">
        <v>0</v>
      </c>
      <c r="BO412">
        <v>1</v>
      </c>
      <c r="BP412">
        <v>0</v>
      </c>
    </row>
    <row r="413" spans="64:68" x14ac:dyDescent="0.3">
      <c r="BL413">
        <v>54</v>
      </c>
      <c r="BM413">
        <v>0</v>
      </c>
      <c r="BN413">
        <v>0</v>
      </c>
      <c r="BO413">
        <v>1</v>
      </c>
      <c r="BP413">
        <v>0</v>
      </c>
    </row>
    <row r="414" spans="64:68" x14ac:dyDescent="0.3">
      <c r="BL414">
        <v>29</v>
      </c>
      <c r="BM414">
        <v>1</v>
      </c>
      <c r="BN414">
        <v>1</v>
      </c>
      <c r="BO414">
        <v>0</v>
      </c>
      <c r="BP414">
        <v>1</v>
      </c>
    </row>
    <row r="415" spans="64:68" x14ac:dyDescent="0.3">
      <c r="BL415">
        <v>20</v>
      </c>
      <c r="BM415">
        <v>0</v>
      </c>
      <c r="BN415">
        <v>0</v>
      </c>
      <c r="BO415">
        <v>1</v>
      </c>
      <c r="BP415">
        <v>0</v>
      </c>
    </row>
    <row r="416" spans="64:68" x14ac:dyDescent="0.3">
      <c r="BL416">
        <v>57</v>
      </c>
      <c r="BM416">
        <v>1</v>
      </c>
      <c r="BN416">
        <v>1</v>
      </c>
      <c r="BO416">
        <v>1</v>
      </c>
      <c r="BP416">
        <v>1</v>
      </c>
    </row>
    <row r="417" spans="64:68" x14ac:dyDescent="0.3">
      <c r="BL417">
        <v>62</v>
      </c>
      <c r="BM417">
        <v>0</v>
      </c>
      <c r="BN417">
        <v>0</v>
      </c>
      <c r="BO417">
        <v>1</v>
      </c>
      <c r="BP417">
        <v>0</v>
      </c>
    </row>
    <row r="418" spans="64:68" x14ac:dyDescent="0.3">
      <c r="BL418">
        <v>35</v>
      </c>
      <c r="BM418">
        <v>0</v>
      </c>
      <c r="BN418">
        <v>0</v>
      </c>
      <c r="BO418">
        <v>1</v>
      </c>
      <c r="BP418">
        <v>0</v>
      </c>
    </row>
    <row r="419" spans="64:68" x14ac:dyDescent="0.3">
      <c r="BL419">
        <v>22</v>
      </c>
      <c r="BM419">
        <v>1</v>
      </c>
      <c r="BN419">
        <v>1</v>
      </c>
      <c r="BO419">
        <v>1</v>
      </c>
      <c r="BP419">
        <v>1</v>
      </c>
    </row>
    <row r="420" spans="64:68" x14ac:dyDescent="0.3">
      <c r="BL420">
        <v>14</v>
      </c>
      <c r="BM420">
        <v>1</v>
      </c>
      <c r="BN420">
        <v>1</v>
      </c>
      <c r="BO420">
        <v>1</v>
      </c>
      <c r="BP420">
        <v>1</v>
      </c>
    </row>
    <row r="421" spans="64:68" x14ac:dyDescent="0.3">
      <c r="BL421">
        <v>40</v>
      </c>
      <c r="BM421">
        <v>1</v>
      </c>
      <c r="BN421">
        <v>1</v>
      </c>
      <c r="BO421">
        <v>0</v>
      </c>
      <c r="BP421">
        <v>1</v>
      </c>
    </row>
    <row r="422" spans="64:68" x14ac:dyDescent="0.3">
      <c r="BL422">
        <v>46</v>
      </c>
      <c r="BM422">
        <v>1</v>
      </c>
      <c r="BN422">
        <v>1</v>
      </c>
      <c r="BO422">
        <v>0</v>
      </c>
      <c r="BP422">
        <v>1</v>
      </c>
    </row>
    <row r="423" spans="64:68" x14ac:dyDescent="0.3">
      <c r="BL423">
        <v>21</v>
      </c>
      <c r="BM423">
        <v>0</v>
      </c>
      <c r="BN423">
        <v>0</v>
      </c>
      <c r="BO423">
        <v>1</v>
      </c>
      <c r="BP423">
        <v>0</v>
      </c>
    </row>
    <row r="424" spans="64:68" x14ac:dyDescent="0.3">
      <c r="BL424">
        <v>38</v>
      </c>
      <c r="BM424">
        <v>0</v>
      </c>
      <c r="BN424">
        <v>0</v>
      </c>
      <c r="BO424">
        <v>1</v>
      </c>
      <c r="BP424">
        <v>0</v>
      </c>
    </row>
    <row r="425" spans="64:68" x14ac:dyDescent="0.3">
      <c r="BL425">
        <v>23</v>
      </c>
      <c r="BM425">
        <v>1</v>
      </c>
      <c r="BN425">
        <v>1</v>
      </c>
      <c r="BO425">
        <v>1</v>
      </c>
      <c r="BP425">
        <v>1</v>
      </c>
    </row>
    <row r="426" spans="64:68" x14ac:dyDescent="0.3">
      <c r="BL426">
        <v>15</v>
      </c>
      <c r="BM426">
        <v>0</v>
      </c>
      <c r="BN426">
        <v>0</v>
      </c>
      <c r="BO426">
        <v>0</v>
      </c>
      <c r="BP426">
        <v>0</v>
      </c>
    </row>
    <row r="427" spans="64:68" x14ac:dyDescent="0.3">
      <c r="BL427">
        <v>21</v>
      </c>
      <c r="BM427">
        <v>0</v>
      </c>
      <c r="BN427">
        <v>0</v>
      </c>
      <c r="BO427">
        <v>0</v>
      </c>
      <c r="BP427">
        <v>0</v>
      </c>
    </row>
    <row r="428" spans="64:68" x14ac:dyDescent="0.3">
      <c r="BL428">
        <v>31</v>
      </c>
      <c r="BM428">
        <v>0</v>
      </c>
      <c r="BN428">
        <v>0</v>
      </c>
      <c r="BO428">
        <v>0</v>
      </c>
      <c r="BP428">
        <v>0</v>
      </c>
    </row>
    <row r="429" spans="64:68" x14ac:dyDescent="0.3">
      <c r="BL429">
        <v>43</v>
      </c>
      <c r="BM429">
        <v>1</v>
      </c>
      <c r="BN429">
        <v>1</v>
      </c>
      <c r="BO429">
        <v>0</v>
      </c>
      <c r="BP429">
        <v>1</v>
      </c>
    </row>
    <row r="430" spans="64:68" x14ac:dyDescent="0.3">
      <c r="BL430">
        <v>29</v>
      </c>
      <c r="BM430">
        <v>1</v>
      </c>
      <c r="BN430">
        <v>1</v>
      </c>
      <c r="BO430">
        <v>0</v>
      </c>
      <c r="BP430">
        <v>1</v>
      </c>
    </row>
    <row r="431" spans="64:68" x14ac:dyDescent="0.3">
      <c r="BL431">
        <v>58</v>
      </c>
      <c r="BM431">
        <v>0</v>
      </c>
      <c r="BN431">
        <v>0</v>
      </c>
      <c r="BO431">
        <v>1</v>
      </c>
      <c r="BP431">
        <v>0</v>
      </c>
    </row>
    <row r="432" spans="64:68" x14ac:dyDescent="0.3">
      <c r="BL432">
        <v>27</v>
      </c>
      <c r="BM432">
        <v>1</v>
      </c>
      <c r="BN432">
        <v>1</v>
      </c>
      <c r="BO432">
        <v>0</v>
      </c>
      <c r="BP432">
        <v>1</v>
      </c>
    </row>
    <row r="433" spans="64:68" x14ac:dyDescent="0.3">
      <c r="BL433">
        <v>49</v>
      </c>
      <c r="BM433">
        <v>0</v>
      </c>
      <c r="BN433">
        <v>0</v>
      </c>
      <c r="BO433">
        <v>0</v>
      </c>
      <c r="BP433">
        <v>0</v>
      </c>
    </row>
    <row r="434" spans="64:68" x14ac:dyDescent="0.3">
      <c r="BL434">
        <v>43</v>
      </c>
      <c r="BM434">
        <v>1</v>
      </c>
      <c r="BN434">
        <v>1</v>
      </c>
      <c r="BO434">
        <v>1</v>
      </c>
      <c r="BP434">
        <v>1</v>
      </c>
    </row>
    <row r="435" spans="64:68" x14ac:dyDescent="0.3">
      <c r="BL435">
        <v>42</v>
      </c>
      <c r="BM435">
        <v>1</v>
      </c>
      <c r="BN435">
        <v>1</v>
      </c>
      <c r="BO435">
        <v>0</v>
      </c>
      <c r="BP435">
        <v>1</v>
      </c>
    </row>
    <row r="436" spans="64:68" x14ac:dyDescent="0.3">
      <c r="BL436">
        <v>18</v>
      </c>
      <c r="BM436">
        <v>1</v>
      </c>
      <c r="BN436">
        <v>1</v>
      </c>
      <c r="BO436">
        <v>0</v>
      </c>
      <c r="BP436">
        <v>1</v>
      </c>
    </row>
    <row r="437" spans="64:68" x14ac:dyDescent="0.3">
      <c r="BL437">
        <v>15</v>
      </c>
      <c r="BM437">
        <v>1</v>
      </c>
      <c r="BN437">
        <v>1</v>
      </c>
      <c r="BO437">
        <v>0</v>
      </c>
      <c r="BP437">
        <v>1</v>
      </c>
    </row>
    <row r="438" spans="64:68" x14ac:dyDescent="0.3">
      <c r="BL438">
        <v>22</v>
      </c>
      <c r="BM438">
        <v>1</v>
      </c>
      <c r="BN438">
        <v>1</v>
      </c>
      <c r="BO438">
        <v>0</v>
      </c>
      <c r="BP438">
        <v>1</v>
      </c>
    </row>
    <row r="439" spans="64:68" x14ac:dyDescent="0.3">
      <c r="BL439">
        <v>31</v>
      </c>
      <c r="BM439">
        <v>1</v>
      </c>
      <c r="BN439">
        <v>1</v>
      </c>
      <c r="BO439">
        <v>0</v>
      </c>
      <c r="BP439">
        <v>1</v>
      </c>
    </row>
    <row r="440" spans="64:68" x14ac:dyDescent="0.3">
      <c r="BL440">
        <v>26</v>
      </c>
      <c r="BM440">
        <v>0</v>
      </c>
      <c r="BN440">
        <v>0</v>
      </c>
      <c r="BO440">
        <v>1</v>
      </c>
      <c r="BP440">
        <v>0</v>
      </c>
    </row>
    <row r="441" spans="64:68" x14ac:dyDescent="0.3">
      <c r="BL441">
        <v>11</v>
      </c>
      <c r="BM441">
        <v>1</v>
      </c>
      <c r="BN441">
        <v>1</v>
      </c>
      <c r="BO441">
        <v>1</v>
      </c>
      <c r="BP441">
        <v>1</v>
      </c>
    </row>
    <row r="442" spans="64:68" x14ac:dyDescent="0.3">
      <c r="BL442">
        <v>47</v>
      </c>
      <c r="BM442">
        <v>1</v>
      </c>
      <c r="BN442">
        <v>1</v>
      </c>
      <c r="BO442">
        <v>1</v>
      </c>
      <c r="BP442">
        <v>1</v>
      </c>
    </row>
    <row r="443" spans="64:68" x14ac:dyDescent="0.3">
      <c r="BL443">
        <v>20</v>
      </c>
      <c r="BM443">
        <v>0</v>
      </c>
      <c r="BN443">
        <v>0</v>
      </c>
      <c r="BO443">
        <v>1</v>
      </c>
      <c r="BP443">
        <v>0</v>
      </c>
    </row>
    <row r="444" spans="64:68" x14ac:dyDescent="0.3">
      <c r="BL444">
        <v>58</v>
      </c>
      <c r="BM444">
        <v>0</v>
      </c>
      <c r="BN444">
        <v>0</v>
      </c>
      <c r="BO444">
        <v>1</v>
      </c>
      <c r="BP444">
        <v>0</v>
      </c>
    </row>
    <row r="445" spans="64:68" x14ac:dyDescent="0.3">
      <c r="BL445">
        <v>62</v>
      </c>
      <c r="BM445">
        <v>1</v>
      </c>
      <c r="BN445">
        <v>1</v>
      </c>
      <c r="BO445">
        <v>0</v>
      </c>
      <c r="BP445">
        <v>1</v>
      </c>
    </row>
    <row r="446" spans="64:68" x14ac:dyDescent="0.3">
      <c r="BL446">
        <v>27</v>
      </c>
      <c r="BM446">
        <v>0</v>
      </c>
      <c r="BN446">
        <v>0</v>
      </c>
      <c r="BO446">
        <v>1</v>
      </c>
      <c r="BP446">
        <v>0</v>
      </c>
    </row>
    <row r="447" spans="64:68" x14ac:dyDescent="0.3">
      <c r="BL447">
        <v>49</v>
      </c>
      <c r="BM447">
        <v>1</v>
      </c>
      <c r="BN447">
        <v>1</v>
      </c>
      <c r="BO447">
        <v>1</v>
      </c>
      <c r="BP447">
        <v>1</v>
      </c>
    </row>
    <row r="448" spans="64:68" x14ac:dyDescent="0.3">
      <c r="BL448">
        <v>30</v>
      </c>
      <c r="BM448">
        <v>1</v>
      </c>
      <c r="BN448">
        <v>1</v>
      </c>
      <c r="BO448">
        <v>0</v>
      </c>
      <c r="BP448">
        <v>1</v>
      </c>
    </row>
    <row r="449" spans="64:68" x14ac:dyDescent="0.3">
      <c r="BL449">
        <v>61</v>
      </c>
      <c r="BM449">
        <v>1</v>
      </c>
      <c r="BN449">
        <v>1</v>
      </c>
      <c r="BO449">
        <v>1</v>
      </c>
      <c r="BP449">
        <v>1</v>
      </c>
    </row>
    <row r="450" spans="64:68" x14ac:dyDescent="0.3">
      <c r="BL450">
        <v>31</v>
      </c>
      <c r="BM450">
        <v>1</v>
      </c>
      <c r="BN450">
        <v>1</v>
      </c>
      <c r="BO450">
        <v>1</v>
      </c>
      <c r="BP450">
        <v>1</v>
      </c>
    </row>
    <row r="451" spans="64:68" x14ac:dyDescent="0.3">
      <c r="BL451">
        <v>64</v>
      </c>
      <c r="BM451">
        <v>0</v>
      </c>
      <c r="BN451">
        <v>0</v>
      </c>
      <c r="BO451">
        <v>1</v>
      </c>
      <c r="BP451">
        <v>0</v>
      </c>
    </row>
    <row r="452" spans="64:68" x14ac:dyDescent="0.3">
      <c r="BL452">
        <v>37</v>
      </c>
      <c r="BM452">
        <v>0</v>
      </c>
      <c r="BN452">
        <v>0</v>
      </c>
      <c r="BO452">
        <v>1</v>
      </c>
      <c r="BP452">
        <v>0</v>
      </c>
    </row>
    <row r="453" spans="64:68" x14ac:dyDescent="0.3">
      <c r="BL453">
        <v>45</v>
      </c>
      <c r="BM453">
        <v>1</v>
      </c>
      <c r="BN453">
        <v>1</v>
      </c>
      <c r="BO453">
        <v>0</v>
      </c>
      <c r="BP453">
        <v>1</v>
      </c>
    </row>
    <row r="454" spans="64:68" x14ac:dyDescent="0.3">
      <c r="BL454">
        <v>47</v>
      </c>
      <c r="BM454">
        <v>1</v>
      </c>
      <c r="BN454">
        <v>1</v>
      </c>
      <c r="BO454">
        <v>0</v>
      </c>
      <c r="BP454">
        <v>1</v>
      </c>
    </row>
    <row r="455" spans="64:68" x14ac:dyDescent="0.3">
      <c r="BL455">
        <v>34</v>
      </c>
      <c r="BM455">
        <v>0</v>
      </c>
      <c r="BN455">
        <v>0</v>
      </c>
      <c r="BO455">
        <v>0</v>
      </c>
      <c r="BP455">
        <v>0</v>
      </c>
    </row>
    <row r="456" spans="64:68" x14ac:dyDescent="0.3">
      <c r="BL456">
        <v>37</v>
      </c>
      <c r="BM456">
        <v>1</v>
      </c>
      <c r="BN456">
        <v>1</v>
      </c>
      <c r="BO456">
        <v>1</v>
      </c>
      <c r="BP456">
        <v>1</v>
      </c>
    </row>
    <row r="457" spans="64:68" x14ac:dyDescent="0.3">
      <c r="BL457">
        <v>38</v>
      </c>
      <c r="BM457">
        <v>0</v>
      </c>
      <c r="BN457">
        <v>1</v>
      </c>
      <c r="BO457">
        <v>0</v>
      </c>
      <c r="BP457">
        <v>1</v>
      </c>
    </row>
    <row r="458" spans="64:68" x14ac:dyDescent="0.3">
      <c r="BL458">
        <v>13</v>
      </c>
      <c r="BM458">
        <v>0</v>
      </c>
      <c r="BN458">
        <v>0</v>
      </c>
      <c r="BO458">
        <v>0</v>
      </c>
      <c r="BP458">
        <v>0</v>
      </c>
    </row>
    <row r="459" spans="64:68" x14ac:dyDescent="0.3">
      <c r="BL459">
        <v>52</v>
      </c>
      <c r="BM459">
        <v>1</v>
      </c>
      <c r="BN459">
        <v>1</v>
      </c>
      <c r="BO459">
        <v>1</v>
      </c>
      <c r="BP459">
        <v>1</v>
      </c>
    </row>
    <row r="460" spans="64:68" x14ac:dyDescent="0.3">
      <c r="BL460">
        <v>50</v>
      </c>
      <c r="BM460">
        <v>0</v>
      </c>
      <c r="BN460">
        <v>0</v>
      </c>
      <c r="BO460">
        <v>0</v>
      </c>
      <c r="BP460">
        <v>0</v>
      </c>
    </row>
    <row r="461" spans="64:68" x14ac:dyDescent="0.3">
      <c r="BL461">
        <v>35</v>
      </c>
      <c r="BM461">
        <v>0</v>
      </c>
      <c r="BN461">
        <v>0</v>
      </c>
      <c r="BO461">
        <v>0</v>
      </c>
      <c r="BP461">
        <v>0</v>
      </c>
    </row>
    <row r="462" spans="64:68" x14ac:dyDescent="0.3">
      <c r="BL462">
        <v>14</v>
      </c>
      <c r="BM462">
        <v>1</v>
      </c>
      <c r="BN462">
        <v>1</v>
      </c>
      <c r="BO462">
        <v>1</v>
      </c>
      <c r="BP462">
        <v>1</v>
      </c>
    </row>
    <row r="463" spans="64:68" x14ac:dyDescent="0.3">
      <c r="BL463">
        <v>31</v>
      </c>
      <c r="BM463">
        <v>0</v>
      </c>
      <c r="BN463">
        <v>0</v>
      </c>
      <c r="BO463">
        <v>1</v>
      </c>
      <c r="BP463">
        <v>0</v>
      </c>
    </row>
    <row r="464" spans="64:68" x14ac:dyDescent="0.3">
      <c r="BL464">
        <v>23</v>
      </c>
      <c r="BM464">
        <v>1</v>
      </c>
      <c r="BN464">
        <v>1</v>
      </c>
      <c r="BO464">
        <v>0</v>
      </c>
      <c r="BP464">
        <v>1</v>
      </c>
    </row>
    <row r="465" spans="64:68" x14ac:dyDescent="0.3">
      <c r="BL465">
        <v>32</v>
      </c>
      <c r="BM465">
        <v>0</v>
      </c>
      <c r="BN465">
        <v>0</v>
      </c>
      <c r="BO465">
        <v>0</v>
      </c>
      <c r="BP465">
        <v>0</v>
      </c>
    </row>
    <row r="466" spans="64:68" x14ac:dyDescent="0.3">
      <c r="BL466">
        <v>39</v>
      </c>
      <c r="BM466">
        <v>1</v>
      </c>
      <c r="BN466">
        <v>1</v>
      </c>
      <c r="BO466">
        <v>0</v>
      </c>
      <c r="BP466">
        <v>1</v>
      </c>
    </row>
    <row r="467" spans="64:68" x14ac:dyDescent="0.3">
      <c r="BL467">
        <v>53</v>
      </c>
      <c r="BM467">
        <v>0</v>
      </c>
      <c r="BN467">
        <v>0</v>
      </c>
      <c r="BO467">
        <v>0</v>
      </c>
      <c r="BP467">
        <v>0</v>
      </c>
    </row>
    <row r="468" spans="64:68" x14ac:dyDescent="0.3">
      <c r="BL468">
        <v>29</v>
      </c>
      <c r="BM468">
        <v>0</v>
      </c>
      <c r="BN468">
        <v>0</v>
      </c>
      <c r="BO468">
        <v>1</v>
      </c>
      <c r="BP468">
        <v>0</v>
      </c>
    </row>
    <row r="469" spans="64:68" x14ac:dyDescent="0.3">
      <c r="BL469">
        <v>51</v>
      </c>
      <c r="BM469">
        <v>1</v>
      </c>
      <c r="BN469">
        <v>1</v>
      </c>
      <c r="BO469">
        <v>1</v>
      </c>
      <c r="BP469">
        <v>1</v>
      </c>
    </row>
    <row r="470" spans="64:68" x14ac:dyDescent="0.3">
      <c r="BL470">
        <v>11</v>
      </c>
      <c r="BM470">
        <v>0</v>
      </c>
      <c r="BN470">
        <v>0</v>
      </c>
      <c r="BO470">
        <v>1</v>
      </c>
      <c r="BP470">
        <v>0</v>
      </c>
    </row>
    <row r="471" spans="64:68" x14ac:dyDescent="0.3">
      <c r="BL471">
        <v>29</v>
      </c>
      <c r="BM471">
        <v>1</v>
      </c>
      <c r="BN471">
        <v>1</v>
      </c>
      <c r="BO471">
        <v>1</v>
      </c>
      <c r="BP471">
        <v>1</v>
      </c>
    </row>
    <row r="472" spans="64:68" x14ac:dyDescent="0.3">
      <c r="BL472">
        <v>45</v>
      </c>
      <c r="BM472">
        <v>1</v>
      </c>
      <c r="BN472">
        <v>1</v>
      </c>
      <c r="BO472">
        <v>0</v>
      </c>
      <c r="BP472">
        <v>1</v>
      </c>
    </row>
    <row r="473" spans="64:68" x14ac:dyDescent="0.3">
      <c r="BL473">
        <v>19</v>
      </c>
      <c r="BM473">
        <v>0</v>
      </c>
      <c r="BN473">
        <v>0</v>
      </c>
      <c r="BO473">
        <v>0</v>
      </c>
      <c r="BP473">
        <v>0</v>
      </c>
    </row>
    <row r="474" spans="64:68" x14ac:dyDescent="0.3">
      <c r="BL474">
        <v>24</v>
      </c>
      <c r="BM474">
        <v>1</v>
      </c>
      <c r="BN474">
        <v>1</v>
      </c>
      <c r="BO474">
        <v>0</v>
      </c>
      <c r="BP474">
        <v>1</v>
      </c>
    </row>
    <row r="475" spans="64:68" x14ac:dyDescent="0.3">
      <c r="BL475">
        <v>48</v>
      </c>
      <c r="BM475">
        <v>0</v>
      </c>
      <c r="BN475">
        <v>0</v>
      </c>
      <c r="BO475">
        <v>0</v>
      </c>
      <c r="BP475">
        <v>0</v>
      </c>
    </row>
    <row r="476" spans="64:68" x14ac:dyDescent="0.3">
      <c r="BL476">
        <v>53</v>
      </c>
      <c r="BM476">
        <v>1</v>
      </c>
      <c r="BN476">
        <v>1</v>
      </c>
      <c r="BO476">
        <v>0</v>
      </c>
      <c r="BP476">
        <v>1</v>
      </c>
    </row>
    <row r="477" spans="64:68" x14ac:dyDescent="0.3">
      <c r="BL477">
        <v>33</v>
      </c>
      <c r="BM477">
        <v>1</v>
      </c>
      <c r="BN477">
        <v>1</v>
      </c>
      <c r="BO477">
        <v>0</v>
      </c>
      <c r="BP477">
        <v>1</v>
      </c>
    </row>
    <row r="478" spans="64:68" x14ac:dyDescent="0.3">
      <c r="BL478">
        <v>41</v>
      </c>
      <c r="BM478">
        <v>1</v>
      </c>
      <c r="BN478">
        <v>1</v>
      </c>
      <c r="BO478">
        <v>1</v>
      </c>
      <c r="BP478">
        <v>1</v>
      </c>
    </row>
    <row r="479" spans="64:68" x14ac:dyDescent="0.3">
      <c r="BL479">
        <v>35</v>
      </c>
      <c r="BM479">
        <v>0</v>
      </c>
      <c r="BN479">
        <v>0</v>
      </c>
      <c r="BO479">
        <v>1</v>
      </c>
      <c r="BP479">
        <v>0</v>
      </c>
    </row>
    <row r="480" spans="64:68" x14ac:dyDescent="0.3">
      <c r="BL480">
        <v>63</v>
      </c>
      <c r="BM480">
        <v>0</v>
      </c>
      <c r="BN480">
        <v>0</v>
      </c>
      <c r="BO480">
        <v>0</v>
      </c>
      <c r="BP480">
        <v>0</v>
      </c>
    </row>
    <row r="481" spans="64:68" x14ac:dyDescent="0.3">
      <c r="BL481">
        <v>54</v>
      </c>
      <c r="BM481">
        <v>1</v>
      </c>
      <c r="BN481">
        <v>1</v>
      </c>
      <c r="BO481">
        <v>0</v>
      </c>
      <c r="BP481">
        <v>1</v>
      </c>
    </row>
    <row r="482" spans="64:68" x14ac:dyDescent="0.3">
      <c r="BL482">
        <v>40</v>
      </c>
      <c r="BM482">
        <v>1</v>
      </c>
      <c r="BN482">
        <v>1</v>
      </c>
      <c r="BO482">
        <v>1</v>
      </c>
      <c r="BP482">
        <v>1</v>
      </c>
    </row>
    <row r="483" spans="64:68" x14ac:dyDescent="0.3">
      <c r="BL483">
        <v>23</v>
      </c>
      <c r="BM483">
        <v>0</v>
      </c>
      <c r="BN483">
        <v>0</v>
      </c>
      <c r="BO483">
        <v>1</v>
      </c>
      <c r="BP483">
        <v>0</v>
      </c>
    </row>
    <row r="484" spans="64:68" x14ac:dyDescent="0.3">
      <c r="BL484">
        <v>55</v>
      </c>
      <c r="BM484">
        <v>0</v>
      </c>
      <c r="BN484">
        <v>0</v>
      </c>
      <c r="BO484">
        <v>0</v>
      </c>
      <c r="BP484">
        <v>0</v>
      </c>
    </row>
    <row r="485" spans="64:68" x14ac:dyDescent="0.3">
      <c r="BL485">
        <v>32</v>
      </c>
      <c r="BM485">
        <v>0</v>
      </c>
      <c r="BN485">
        <v>0</v>
      </c>
      <c r="BO485">
        <v>0</v>
      </c>
      <c r="BP485">
        <v>0</v>
      </c>
    </row>
    <row r="486" spans="64:68" x14ac:dyDescent="0.3">
      <c r="BL486">
        <v>13</v>
      </c>
      <c r="BM486">
        <v>0</v>
      </c>
      <c r="BN486">
        <v>0</v>
      </c>
      <c r="BO486">
        <v>1</v>
      </c>
      <c r="BP486">
        <v>0</v>
      </c>
    </row>
    <row r="487" spans="64:68" x14ac:dyDescent="0.3">
      <c r="BL487">
        <v>44</v>
      </c>
      <c r="BM487">
        <v>1</v>
      </c>
      <c r="BN487">
        <v>1</v>
      </c>
      <c r="BO487">
        <v>0</v>
      </c>
      <c r="BP487">
        <v>1</v>
      </c>
    </row>
    <row r="488" spans="64:68" x14ac:dyDescent="0.3">
      <c r="BL488">
        <v>52</v>
      </c>
      <c r="BM488">
        <v>0</v>
      </c>
      <c r="BN488">
        <v>0</v>
      </c>
      <c r="BO488">
        <v>1</v>
      </c>
      <c r="BP488">
        <v>0</v>
      </c>
    </row>
    <row r="489" spans="64:68" x14ac:dyDescent="0.3">
      <c r="BL489">
        <v>65</v>
      </c>
      <c r="BM489">
        <v>0</v>
      </c>
      <c r="BN489">
        <v>0</v>
      </c>
      <c r="BO489">
        <v>0</v>
      </c>
      <c r="BP489">
        <v>0</v>
      </c>
    </row>
    <row r="490" spans="64:68" x14ac:dyDescent="0.3">
      <c r="BL490">
        <v>55</v>
      </c>
      <c r="BM490">
        <v>0</v>
      </c>
      <c r="BN490">
        <v>0</v>
      </c>
      <c r="BO490">
        <v>0</v>
      </c>
      <c r="BP490">
        <v>0</v>
      </c>
    </row>
    <row r="491" spans="64:68" x14ac:dyDescent="0.3">
      <c r="BL491">
        <v>17</v>
      </c>
      <c r="BM491">
        <v>0</v>
      </c>
      <c r="BN491">
        <v>0</v>
      </c>
      <c r="BO491">
        <v>1</v>
      </c>
      <c r="BP491">
        <v>0</v>
      </c>
    </row>
    <row r="492" spans="64:68" x14ac:dyDescent="0.3">
      <c r="BL492">
        <v>31</v>
      </c>
      <c r="BM492">
        <v>1</v>
      </c>
      <c r="BN492">
        <v>1</v>
      </c>
      <c r="BO492">
        <v>0</v>
      </c>
      <c r="BP492">
        <v>1</v>
      </c>
    </row>
    <row r="493" spans="64:68" x14ac:dyDescent="0.3">
      <c r="BL493">
        <v>9</v>
      </c>
      <c r="BM493">
        <v>1</v>
      </c>
      <c r="BN493">
        <v>1</v>
      </c>
      <c r="BO493">
        <v>1</v>
      </c>
      <c r="BP493">
        <v>1</v>
      </c>
    </row>
    <row r="494" spans="64:68" x14ac:dyDescent="0.3">
      <c r="BL494">
        <v>22</v>
      </c>
      <c r="BM494">
        <v>1</v>
      </c>
      <c r="BN494">
        <v>1</v>
      </c>
      <c r="BO494">
        <v>0</v>
      </c>
      <c r="BP494">
        <v>1</v>
      </c>
    </row>
    <row r="495" spans="64:68" x14ac:dyDescent="0.3">
      <c r="BL495">
        <v>21</v>
      </c>
      <c r="BM495">
        <v>1</v>
      </c>
      <c r="BN495">
        <v>1</v>
      </c>
      <c r="BO495">
        <v>0</v>
      </c>
      <c r="BP495">
        <v>1</v>
      </c>
    </row>
    <row r="496" spans="64:68" x14ac:dyDescent="0.3">
      <c r="BL496">
        <v>15</v>
      </c>
      <c r="BM496">
        <v>1</v>
      </c>
      <c r="BN496">
        <v>1</v>
      </c>
      <c r="BO496">
        <v>0</v>
      </c>
      <c r="BP496">
        <v>1</v>
      </c>
    </row>
    <row r="497" spans="64:68" x14ac:dyDescent="0.3">
      <c r="BL497">
        <v>40</v>
      </c>
      <c r="BM497">
        <v>1</v>
      </c>
      <c r="BN497">
        <v>1</v>
      </c>
      <c r="BO497">
        <v>0</v>
      </c>
      <c r="BP497">
        <v>1</v>
      </c>
    </row>
    <row r="498" spans="64:68" x14ac:dyDescent="0.3">
      <c r="BL498">
        <v>37</v>
      </c>
      <c r="BM498">
        <v>1</v>
      </c>
      <c r="BN498">
        <v>1</v>
      </c>
      <c r="BO498">
        <v>1</v>
      </c>
      <c r="BP498">
        <v>1</v>
      </c>
    </row>
    <row r="499" spans="64:68" x14ac:dyDescent="0.3">
      <c r="BL499">
        <v>53</v>
      </c>
      <c r="BM499">
        <v>0</v>
      </c>
      <c r="BN499">
        <v>0</v>
      </c>
      <c r="BO499">
        <v>0</v>
      </c>
      <c r="BP499">
        <v>0</v>
      </c>
    </row>
    <row r="500" spans="64:68" x14ac:dyDescent="0.3">
      <c r="BL500">
        <v>46</v>
      </c>
      <c r="BM500">
        <v>0</v>
      </c>
      <c r="BN500">
        <v>0</v>
      </c>
      <c r="BO500">
        <v>0</v>
      </c>
      <c r="BP500">
        <v>0</v>
      </c>
    </row>
    <row r="501" spans="64:68" x14ac:dyDescent="0.3">
      <c r="BL501">
        <v>9</v>
      </c>
      <c r="BM501">
        <v>1</v>
      </c>
      <c r="BN501">
        <v>1</v>
      </c>
      <c r="BO501">
        <v>1</v>
      </c>
      <c r="BP501">
        <v>1</v>
      </c>
    </row>
    <row r="502" spans="64:68" x14ac:dyDescent="0.3">
      <c r="BL502">
        <v>35</v>
      </c>
      <c r="BM502">
        <v>0</v>
      </c>
      <c r="BN502">
        <v>0</v>
      </c>
      <c r="BO502">
        <v>1</v>
      </c>
      <c r="BP502">
        <v>0</v>
      </c>
    </row>
    <row r="503" spans="64:68" x14ac:dyDescent="0.3">
      <c r="BL503">
        <v>18</v>
      </c>
      <c r="BM503">
        <v>0</v>
      </c>
      <c r="BN503">
        <v>0</v>
      </c>
      <c r="BO503">
        <v>1</v>
      </c>
      <c r="BP503">
        <v>0</v>
      </c>
    </row>
    <row r="504" spans="64:68" x14ac:dyDescent="0.3">
      <c r="BL504">
        <v>10</v>
      </c>
      <c r="BM504">
        <v>0</v>
      </c>
      <c r="BN504">
        <v>0</v>
      </c>
      <c r="BO504">
        <v>1</v>
      </c>
      <c r="BP504">
        <v>0</v>
      </c>
    </row>
    <row r="505" spans="64:68" x14ac:dyDescent="0.3">
      <c r="BL505">
        <v>13</v>
      </c>
      <c r="BM505">
        <v>1</v>
      </c>
      <c r="BN505">
        <v>1</v>
      </c>
      <c r="BO505">
        <v>1</v>
      </c>
      <c r="BP505">
        <v>1</v>
      </c>
    </row>
    <row r="506" spans="64:68" x14ac:dyDescent="0.3">
      <c r="BL506">
        <v>19</v>
      </c>
      <c r="BM506">
        <v>1</v>
      </c>
      <c r="BN506">
        <v>1</v>
      </c>
      <c r="BO506">
        <v>0</v>
      </c>
      <c r="BP506">
        <v>1</v>
      </c>
    </row>
    <row r="507" spans="64:68" x14ac:dyDescent="0.3">
      <c r="BL507">
        <v>37</v>
      </c>
      <c r="BM507">
        <v>0</v>
      </c>
      <c r="BN507">
        <v>0</v>
      </c>
      <c r="BO507">
        <v>1</v>
      </c>
      <c r="BP507">
        <v>0</v>
      </c>
    </row>
    <row r="508" spans="64:68" x14ac:dyDescent="0.3">
      <c r="BL508">
        <v>40</v>
      </c>
      <c r="BM508">
        <v>1</v>
      </c>
      <c r="BN508">
        <v>1</v>
      </c>
      <c r="BO508">
        <v>0</v>
      </c>
      <c r="BP508">
        <v>1</v>
      </c>
    </row>
    <row r="509" spans="64:68" x14ac:dyDescent="0.3">
      <c r="BL509">
        <v>10</v>
      </c>
      <c r="BM509">
        <v>0</v>
      </c>
      <c r="BN509">
        <v>0</v>
      </c>
      <c r="BO509">
        <v>0</v>
      </c>
      <c r="BP509">
        <v>0</v>
      </c>
    </row>
    <row r="510" spans="64:68" x14ac:dyDescent="0.3">
      <c r="BL510">
        <v>17</v>
      </c>
      <c r="BM510">
        <v>0</v>
      </c>
      <c r="BN510">
        <v>0</v>
      </c>
      <c r="BO510">
        <v>1</v>
      </c>
      <c r="BP510">
        <v>0</v>
      </c>
    </row>
    <row r="511" spans="64:68" x14ac:dyDescent="0.3">
      <c r="BL511">
        <v>47</v>
      </c>
      <c r="BM511">
        <v>1</v>
      </c>
      <c r="BN511">
        <v>1</v>
      </c>
      <c r="BO511">
        <v>0</v>
      </c>
      <c r="BP511">
        <v>1</v>
      </c>
    </row>
    <row r="512" spans="64:68" x14ac:dyDescent="0.3">
      <c r="BL512">
        <v>51</v>
      </c>
      <c r="BM512">
        <v>0</v>
      </c>
      <c r="BN512">
        <v>0</v>
      </c>
      <c r="BO512">
        <v>0</v>
      </c>
      <c r="BP512">
        <v>0</v>
      </c>
    </row>
    <row r="513" spans="64:68" x14ac:dyDescent="0.3">
      <c r="BL513">
        <v>33</v>
      </c>
      <c r="BM513">
        <v>1</v>
      </c>
      <c r="BN513">
        <v>1</v>
      </c>
      <c r="BO513">
        <v>1</v>
      </c>
      <c r="BP513">
        <v>1</v>
      </c>
    </row>
    <row r="514" spans="64:68" x14ac:dyDescent="0.3">
      <c r="BL514">
        <v>51</v>
      </c>
      <c r="BM514">
        <v>1</v>
      </c>
      <c r="BN514">
        <v>1</v>
      </c>
      <c r="BO514">
        <v>1</v>
      </c>
      <c r="BP514">
        <v>1</v>
      </c>
    </row>
    <row r="515" spans="64:68" x14ac:dyDescent="0.3">
      <c r="BL515">
        <v>60</v>
      </c>
      <c r="BM515">
        <v>0</v>
      </c>
      <c r="BN515">
        <v>0</v>
      </c>
      <c r="BO515">
        <v>1</v>
      </c>
      <c r="BP515">
        <v>0</v>
      </c>
    </row>
    <row r="516" spans="64:68" x14ac:dyDescent="0.3">
      <c r="BL516">
        <v>23</v>
      </c>
      <c r="BM516">
        <v>0</v>
      </c>
      <c r="BN516">
        <v>0</v>
      </c>
      <c r="BO516">
        <v>1</v>
      </c>
      <c r="BP516">
        <v>0</v>
      </c>
    </row>
    <row r="517" spans="64:68" x14ac:dyDescent="0.3">
      <c r="BL517">
        <v>8</v>
      </c>
      <c r="BM517">
        <v>0</v>
      </c>
      <c r="BN517">
        <v>0</v>
      </c>
      <c r="BO517">
        <v>0</v>
      </c>
      <c r="BP517">
        <v>0</v>
      </c>
    </row>
    <row r="518" spans="64:68" x14ac:dyDescent="0.3">
      <c r="BL518">
        <v>52</v>
      </c>
      <c r="BM518">
        <v>0</v>
      </c>
      <c r="BN518">
        <v>0</v>
      </c>
      <c r="BO518">
        <v>1</v>
      </c>
      <c r="BP518">
        <v>0</v>
      </c>
    </row>
    <row r="519" spans="64:68" x14ac:dyDescent="0.3">
      <c r="BL519">
        <v>10</v>
      </c>
      <c r="BM519">
        <v>1</v>
      </c>
      <c r="BN519">
        <v>1</v>
      </c>
      <c r="BO519">
        <v>1</v>
      </c>
      <c r="BP519">
        <v>1</v>
      </c>
    </row>
    <row r="520" spans="64:68" x14ac:dyDescent="0.3">
      <c r="BL520">
        <v>22</v>
      </c>
      <c r="BM520">
        <v>1</v>
      </c>
      <c r="BN520">
        <v>1</v>
      </c>
      <c r="BO520">
        <v>0</v>
      </c>
      <c r="BP520">
        <v>1</v>
      </c>
    </row>
    <row r="521" spans="64:68" x14ac:dyDescent="0.3">
      <c r="BL521">
        <v>23</v>
      </c>
      <c r="BM521">
        <v>1</v>
      </c>
      <c r="BN521">
        <v>1</v>
      </c>
      <c r="BO521">
        <v>0</v>
      </c>
      <c r="BP521">
        <v>1</v>
      </c>
    </row>
    <row r="522" spans="64:68" x14ac:dyDescent="0.3">
      <c r="BL522">
        <v>13</v>
      </c>
      <c r="BM522">
        <v>0</v>
      </c>
      <c r="BN522">
        <v>0</v>
      </c>
      <c r="BO522">
        <v>1</v>
      </c>
      <c r="BP522">
        <v>0</v>
      </c>
    </row>
    <row r="523" spans="64:68" x14ac:dyDescent="0.3">
      <c r="BL523">
        <v>22</v>
      </c>
      <c r="BM523">
        <v>0</v>
      </c>
      <c r="BN523">
        <v>0</v>
      </c>
      <c r="BO523">
        <v>0</v>
      </c>
      <c r="BP523">
        <v>0</v>
      </c>
    </row>
    <row r="524" spans="64:68" x14ac:dyDescent="0.3">
      <c r="BL524">
        <v>64</v>
      </c>
      <c r="BM524">
        <v>1</v>
      </c>
      <c r="BN524">
        <v>1</v>
      </c>
      <c r="BO524">
        <v>1</v>
      </c>
      <c r="BP524">
        <v>1</v>
      </c>
    </row>
    <row r="525" spans="64:68" x14ac:dyDescent="0.3">
      <c r="BL525">
        <v>9</v>
      </c>
      <c r="BM525">
        <v>0</v>
      </c>
      <c r="BN525">
        <v>0</v>
      </c>
      <c r="BO525">
        <v>0</v>
      </c>
      <c r="BP525">
        <v>0</v>
      </c>
    </row>
    <row r="526" spans="64:68" x14ac:dyDescent="0.3">
      <c r="BL526">
        <v>26</v>
      </c>
      <c r="BM526">
        <v>0</v>
      </c>
      <c r="BN526">
        <v>0</v>
      </c>
      <c r="BO526">
        <v>0</v>
      </c>
      <c r="BP526">
        <v>0</v>
      </c>
    </row>
    <row r="527" spans="64:68" x14ac:dyDescent="0.3">
      <c r="BL527">
        <v>32</v>
      </c>
      <c r="BM527">
        <v>0</v>
      </c>
      <c r="BN527">
        <v>0</v>
      </c>
      <c r="BO527">
        <v>0</v>
      </c>
      <c r="BP527">
        <v>0</v>
      </c>
    </row>
    <row r="528" spans="64:68" x14ac:dyDescent="0.3">
      <c r="BL528">
        <v>48</v>
      </c>
      <c r="BM528">
        <v>0</v>
      </c>
      <c r="BN528">
        <v>0</v>
      </c>
      <c r="BO528">
        <v>1</v>
      </c>
      <c r="BP528">
        <v>0</v>
      </c>
    </row>
    <row r="529" spans="64:68" x14ac:dyDescent="0.3">
      <c r="BL529">
        <v>48</v>
      </c>
      <c r="BM529">
        <v>0</v>
      </c>
      <c r="BN529">
        <v>1</v>
      </c>
      <c r="BO529">
        <v>0</v>
      </c>
      <c r="BP529">
        <v>1</v>
      </c>
    </row>
    <row r="530" spans="64:68" x14ac:dyDescent="0.3">
      <c r="BL530">
        <v>33</v>
      </c>
      <c r="BM530">
        <v>0</v>
      </c>
      <c r="BN530">
        <v>0</v>
      </c>
      <c r="BO530">
        <v>0</v>
      </c>
      <c r="BP530">
        <v>0</v>
      </c>
    </row>
    <row r="531" spans="64:68" x14ac:dyDescent="0.3">
      <c r="BL531">
        <v>36</v>
      </c>
      <c r="BM531">
        <v>0</v>
      </c>
      <c r="BN531">
        <v>0</v>
      </c>
      <c r="BO531">
        <v>0</v>
      </c>
      <c r="BP531">
        <v>0</v>
      </c>
    </row>
    <row r="532" spans="64:68" x14ac:dyDescent="0.3">
      <c r="BL532">
        <v>32</v>
      </c>
      <c r="BM532">
        <v>0</v>
      </c>
      <c r="BN532">
        <v>0</v>
      </c>
      <c r="BO532">
        <v>0</v>
      </c>
      <c r="BP532">
        <v>0</v>
      </c>
    </row>
    <row r="533" spans="64:68" x14ac:dyDescent="0.3">
      <c r="BL533">
        <v>53</v>
      </c>
      <c r="BM533">
        <v>0</v>
      </c>
      <c r="BN533">
        <v>0</v>
      </c>
      <c r="BO533">
        <v>0</v>
      </c>
      <c r="BP533">
        <v>0</v>
      </c>
    </row>
    <row r="534" spans="64:68" x14ac:dyDescent="0.3">
      <c r="BL534">
        <v>9</v>
      </c>
      <c r="BM534">
        <v>1</v>
      </c>
      <c r="BN534">
        <v>1</v>
      </c>
      <c r="BO534">
        <v>0</v>
      </c>
      <c r="BP534">
        <v>1</v>
      </c>
    </row>
    <row r="535" spans="64:68" x14ac:dyDescent="0.3">
      <c r="BL535">
        <v>9</v>
      </c>
      <c r="BM535">
        <v>1</v>
      </c>
      <c r="BN535">
        <v>1</v>
      </c>
      <c r="BO535">
        <v>0</v>
      </c>
      <c r="BP535">
        <v>1</v>
      </c>
    </row>
    <row r="536" spans="64:68" x14ac:dyDescent="0.3">
      <c r="BL536">
        <v>40</v>
      </c>
      <c r="BM536">
        <v>0</v>
      </c>
      <c r="BN536">
        <v>0</v>
      </c>
      <c r="BO536">
        <v>1</v>
      </c>
      <c r="BP536">
        <v>0</v>
      </c>
    </row>
    <row r="537" spans="64:68" x14ac:dyDescent="0.3">
      <c r="BL537">
        <v>55</v>
      </c>
      <c r="BM537">
        <v>1</v>
      </c>
      <c r="BN537">
        <v>1</v>
      </c>
      <c r="BO537">
        <v>1</v>
      </c>
      <c r="BP537">
        <v>1</v>
      </c>
    </row>
    <row r="538" spans="64:68" x14ac:dyDescent="0.3">
      <c r="BL538">
        <v>34</v>
      </c>
      <c r="BM538">
        <v>0</v>
      </c>
      <c r="BN538">
        <v>0</v>
      </c>
      <c r="BO538">
        <v>1</v>
      </c>
      <c r="BP538">
        <v>0</v>
      </c>
    </row>
    <row r="539" spans="64:68" x14ac:dyDescent="0.3">
      <c r="BL539">
        <v>19</v>
      </c>
      <c r="BM539">
        <v>1</v>
      </c>
      <c r="BN539">
        <v>1</v>
      </c>
      <c r="BO539">
        <v>1</v>
      </c>
      <c r="BP539">
        <v>1</v>
      </c>
    </row>
    <row r="540" spans="64:68" x14ac:dyDescent="0.3">
      <c r="BL540">
        <v>48</v>
      </c>
      <c r="BM540">
        <v>1</v>
      </c>
      <c r="BN540">
        <v>1</v>
      </c>
      <c r="BO540">
        <v>1</v>
      </c>
      <c r="BP540">
        <v>1</v>
      </c>
    </row>
    <row r="541" spans="64:68" x14ac:dyDescent="0.3">
      <c r="BL541">
        <v>30</v>
      </c>
      <c r="BM541">
        <v>1</v>
      </c>
      <c r="BN541">
        <v>1</v>
      </c>
      <c r="BO541">
        <v>0</v>
      </c>
      <c r="BP541">
        <v>1</v>
      </c>
    </row>
    <row r="542" spans="64:68" x14ac:dyDescent="0.3">
      <c r="BL542">
        <v>27</v>
      </c>
      <c r="BM542">
        <v>0</v>
      </c>
      <c r="BN542">
        <v>0</v>
      </c>
      <c r="BO542">
        <v>0</v>
      </c>
      <c r="BP542">
        <v>0</v>
      </c>
    </row>
    <row r="543" spans="64:68" x14ac:dyDescent="0.3">
      <c r="BL543">
        <v>49</v>
      </c>
      <c r="BM543">
        <v>0</v>
      </c>
      <c r="BN543">
        <v>0</v>
      </c>
      <c r="BO543">
        <v>0</v>
      </c>
      <c r="BP543">
        <v>0</v>
      </c>
    </row>
    <row r="544" spans="64:68" x14ac:dyDescent="0.3">
      <c r="BL544">
        <v>28</v>
      </c>
      <c r="BM544">
        <v>0</v>
      </c>
      <c r="BN544">
        <v>0</v>
      </c>
      <c r="BO544">
        <v>1</v>
      </c>
      <c r="BP544">
        <v>0</v>
      </c>
    </row>
    <row r="545" spans="64:68" x14ac:dyDescent="0.3">
      <c r="BL545">
        <v>29</v>
      </c>
      <c r="BM545">
        <v>1</v>
      </c>
      <c r="BN545">
        <v>1</v>
      </c>
      <c r="BO545">
        <v>1</v>
      </c>
      <c r="BP545">
        <v>1</v>
      </c>
    </row>
    <row r="546" spans="64:68" x14ac:dyDescent="0.3">
      <c r="BL546">
        <v>65</v>
      </c>
      <c r="BM546">
        <v>1</v>
      </c>
      <c r="BN546">
        <v>1</v>
      </c>
      <c r="BO546">
        <v>0</v>
      </c>
      <c r="BP546">
        <v>1</v>
      </c>
    </row>
    <row r="547" spans="64:68" x14ac:dyDescent="0.3">
      <c r="BL547">
        <v>36</v>
      </c>
      <c r="BM547">
        <v>0</v>
      </c>
      <c r="BN547">
        <v>0</v>
      </c>
      <c r="BO547">
        <v>1</v>
      </c>
      <c r="BP547">
        <v>0</v>
      </c>
    </row>
    <row r="548" spans="64:68" x14ac:dyDescent="0.3">
      <c r="BL548">
        <v>55</v>
      </c>
      <c r="BM548">
        <v>1</v>
      </c>
      <c r="BN548">
        <v>1</v>
      </c>
      <c r="BO548">
        <v>0</v>
      </c>
      <c r="BP548">
        <v>1</v>
      </c>
    </row>
    <row r="549" spans="64:68" x14ac:dyDescent="0.3">
      <c r="BL549">
        <v>22</v>
      </c>
      <c r="BM549">
        <v>0</v>
      </c>
      <c r="BN549">
        <v>0</v>
      </c>
      <c r="BO549">
        <v>1</v>
      </c>
      <c r="BP549">
        <v>0</v>
      </c>
    </row>
    <row r="550" spans="64:68" x14ac:dyDescent="0.3">
      <c r="BL550">
        <v>26</v>
      </c>
      <c r="BM550">
        <v>1</v>
      </c>
      <c r="BN550">
        <v>1</v>
      </c>
      <c r="BO550">
        <v>0</v>
      </c>
      <c r="BP550">
        <v>1</v>
      </c>
    </row>
    <row r="551" spans="64:68" x14ac:dyDescent="0.3">
      <c r="BL551">
        <v>31</v>
      </c>
      <c r="BM551">
        <v>1</v>
      </c>
      <c r="BN551">
        <v>1</v>
      </c>
      <c r="BO551">
        <v>0</v>
      </c>
      <c r="BP551">
        <v>1</v>
      </c>
    </row>
    <row r="552" spans="64:68" x14ac:dyDescent="0.3">
      <c r="BL552">
        <v>50</v>
      </c>
      <c r="BM552">
        <v>0</v>
      </c>
      <c r="BN552">
        <v>0</v>
      </c>
      <c r="BO552">
        <v>0</v>
      </c>
      <c r="BP552">
        <v>0</v>
      </c>
    </row>
    <row r="553" spans="64:68" x14ac:dyDescent="0.3">
      <c r="BL553">
        <v>25</v>
      </c>
      <c r="BM553">
        <v>0</v>
      </c>
      <c r="BN553">
        <v>0</v>
      </c>
      <c r="BO553">
        <v>0</v>
      </c>
      <c r="BP553">
        <v>0</v>
      </c>
    </row>
    <row r="554" spans="64:68" x14ac:dyDescent="0.3">
      <c r="BL554">
        <v>34</v>
      </c>
      <c r="BM554">
        <v>1</v>
      </c>
      <c r="BN554">
        <v>1</v>
      </c>
      <c r="BO554">
        <v>0</v>
      </c>
      <c r="BP554">
        <v>1</v>
      </c>
    </row>
    <row r="555" spans="64:68" x14ac:dyDescent="0.3">
      <c r="BL555">
        <v>54</v>
      </c>
      <c r="BM555">
        <v>0</v>
      </c>
      <c r="BN555">
        <v>0</v>
      </c>
      <c r="BO555">
        <v>0</v>
      </c>
      <c r="BP555">
        <v>0</v>
      </c>
    </row>
    <row r="556" spans="64:68" x14ac:dyDescent="0.3">
      <c r="BL556">
        <v>35</v>
      </c>
      <c r="BM556">
        <v>1</v>
      </c>
      <c r="BN556">
        <v>1</v>
      </c>
      <c r="BO556">
        <v>0</v>
      </c>
      <c r="BP556">
        <v>1</v>
      </c>
    </row>
    <row r="557" spans="64:68" x14ac:dyDescent="0.3">
      <c r="BL557">
        <v>29</v>
      </c>
      <c r="BM557">
        <v>1</v>
      </c>
      <c r="BN557">
        <v>1</v>
      </c>
      <c r="BO557">
        <v>1</v>
      </c>
      <c r="BP557">
        <v>1</v>
      </c>
    </row>
    <row r="558" spans="64:68" x14ac:dyDescent="0.3">
      <c r="BL558">
        <v>18</v>
      </c>
      <c r="BM558">
        <v>1</v>
      </c>
      <c r="BN558">
        <v>1</v>
      </c>
      <c r="BO558">
        <v>0</v>
      </c>
      <c r="BP558">
        <v>1</v>
      </c>
    </row>
    <row r="559" spans="64:68" x14ac:dyDescent="0.3">
      <c r="BL559">
        <v>12</v>
      </c>
      <c r="BM559">
        <v>1</v>
      </c>
      <c r="BN559">
        <v>1</v>
      </c>
      <c r="BO559">
        <v>1</v>
      </c>
      <c r="BP559">
        <v>1</v>
      </c>
    </row>
    <row r="560" spans="64:68" x14ac:dyDescent="0.3">
      <c r="BL560">
        <v>19</v>
      </c>
      <c r="BM560">
        <v>0</v>
      </c>
      <c r="BN560">
        <v>0</v>
      </c>
      <c r="BO560">
        <v>0</v>
      </c>
      <c r="BP560">
        <v>0</v>
      </c>
    </row>
    <row r="561" spans="64:68" x14ac:dyDescent="0.3">
      <c r="BL561">
        <v>38</v>
      </c>
      <c r="BM561">
        <v>1</v>
      </c>
      <c r="BN561">
        <v>1</v>
      </c>
      <c r="BO561">
        <v>0</v>
      </c>
      <c r="BP561">
        <v>1</v>
      </c>
    </row>
    <row r="562" spans="64:68" x14ac:dyDescent="0.3">
      <c r="BL562">
        <v>46</v>
      </c>
      <c r="BM562">
        <v>0</v>
      </c>
      <c r="BN562">
        <v>0</v>
      </c>
      <c r="BO562">
        <v>0</v>
      </c>
      <c r="BP562">
        <v>0</v>
      </c>
    </row>
    <row r="563" spans="64:68" x14ac:dyDescent="0.3">
      <c r="BL563">
        <v>9</v>
      </c>
      <c r="BM563">
        <v>1</v>
      </c>
      <c r="BN563">
        <v>1</v>
      </c>
      <c r="BO563">
        <v>0</v>
      </c>
      <c r="BP563">
        <v>1</v>
      </c>
    </row>
    <row r="564" spans="64:68" x14ac:dyDescent="0.3">
      <c r="BL564">
        <v>42</v>
      </c>
      <c r="BM564">
        <v>1</v>
      </c>
      <c r="BN564">
        <v>1</v>
      </c>
      <c r="BO564">
        <v>1</v>
      </c>
      <c r="BP564">
        <v>1</v>
      </c>
    </row>
    <row r="565" spans="64:68" x14ac:dyDescent="0.3">
      <c r="BL565">
        <v>23</v>
      </c>
      <c r="BM565">
        <v>0</v>
      </c>
      <c r="BN565">
        <v>0</v>
      </c>
      <c r="BO565">
        <v>1</v>
      </c>
      <c r="BP565">
        <v>0</v>
      </c>
    </row>
    <row r="566" spans="64:68" x14ac:dyDescent="0.3">
      <c r="BL566">
        <v>45</v>
      </c>
      <c r="BM566">
        <v>1</v>
      </c>
      <c r="BN566">
        <v>1</v>
      </c>
      <c r="BO566">
        <v>1</v>
      </c>
      <c r="BP566">
        <v>1</v>
      </c>
    </row>
    <row r="567" spans="64:68" x14ac:dyDescent="0.3">
      <c r="BL567">
        <v>29</v>
      </c>
      <c r="BM567">
        <v>1</v>
      </c>
      <c r="BN567">
        <v>1</v>
      </c>
      <c r="BO567">
        <v>1</v>
      </c>
      <c r="BP567">
        <v>1</v>
      </c>
    </row>
    <row r="568" spans="64:68" x14ac:dyDescent="0.3">
      <c r="BL568">
        <v>31</v>
      </c>
      <c r="BM568">
        <v>1</v>
      </c>
      <c r="BN568">
        <v>1</v>
      </c>
      <c r="BO568">
        <v>1</v>
      </c>
      <c r="BP568">
        <v>1</v>
      </c>
    </row>
    <row r="569" spans="64:68" x14ac:dyDescent="0.3">
      <c r="BL569">
        <v>34</v>
      </c>
      <c r="BM569">
        <v>0</v>
      </c>
      <c r="BN569">
        <v>0</v>
      </c>
      <c r="BO569">
        <v>0</v>
      </c>
      <c r="BP569">
        <v>0</v>
      </c>
    </row>
    <row r="570" spans="64:68" x14ac:dyDescent="0.3">
      <c r="BL570">
        <v>61</v>
      </c>
      <c r="BM570">
        <v>1</v>
      </c>
      <c r="BN570">
        <v>1</v>
      </c>
      <c r="BO570">
        <v>1</v>
      </c>
      <c r="BP570">
        <v>1</v>
      </c>
    </row>
    <row r="571" spans="64:68" x14ac:dyDescent="0.3">
      <c r="BL571">
        <v>26</v>
      </c>
      <c r="BM571">
        <v>1</v>
      </c>
      <c r="BN571">
        <v>1</v>
      </c>
      <c r="BO571">
        <v>1</v>
      </c>
      <c r="BP571">
        <v>1</v>
      </c>
    </row>
    <row r="572" spans="64:68" x14ac:dyDescent="0.3">
      <c r="BL572">
        <v>52</v>
      </c>
      <c r="BM572">
        <v>0</v>
      </c>
      <c r="BN572">
        <v>0</v>
      </c>
      <c r="BO572">
        <v>0</v>
      </c>
      <c r="BP572">
        <v>0</v>
      </c>
    </row>
    <row r="573" spans="64:68" x14ac:dyDescent="0.3">
      <c r="BL573">
        <v>24</v>
      </c>
      <c r="BM573">
        <v>0</v>
      </c>
      <c r="BN573">
        <v>0</v>
      </c>
      <c r="BO573">
        <v>0</v>
      </c>
      <c r="BP573">
        <v>0</v>
      </c>
    </row>
    <row r="574" spans="64:68" x14ac:dyDescent="0.3">
      <c r="BL574">
        <v>19</v>
      </c>
      <c r="BM574">
        <v>0</v>
      </c>
      <c r="BN574">
        <v>0</v>
      </c>
      <c r="BO574">
        <v>1</v>
      </c>
      <c r="BP574">
        <v>0</v>
      </c>
    </row>
    <row r="575" spans="64:68" x14ac:dyDescent="0.3">
      <c r="BL575">
        <v>47</v>
      </c>
      <c r="BM575">
        <v>1</v>
      </c>
      <c r="BN575">
        <v>1</v>
      </c>
      <c r="BO575">
        <v>0</v>
      </c>
      <c r="BP575">
        <v>1</v>
      </c>
    </row>
    <row r="576" spans="64:68" x14ac:dyDescent="0.3">
      <c r="BL576">
        <v>14</v>
      </c>
      <c r="BM576">
        <v>1</v>
      </c>
      <c r="BN576">
        <v>1</v>
      </c>
      <c r="BO576">
        <v>1</v>
      </c>
      <c r="BP576">
        <v>1</v>
      </c>
    </row>
    <row r="577" spans="64:68" x14ac:dyDescent="0.3">
      <c r="BL577">
        <v>62</v>
      </c>
      <c r="BM577">
        <v>1</v>
      </c>
      <c r="BN577">
        <v>1</v>
      </c>
      <c r="BO577">
        <v>0</v>
      </c>
      <c r="BP577">
        <v>1</v>
      </c>
    </row>
    <row r="578" spans="64:68" x14ac:dyDescent="0.3">
      <c r="BL578">
        <v>53</v>
      </c>
      <c r="BM578">
        <v>1</v>
      </c>
      <c r="BN578">
        <v>1</v>
      </c>
      <c r="BO578">
        <v>1</v>
      </c>
      <c r="BP578">
        <v>1</v>
      </c>
    </row>
    <row r="579" spans="64:68" x14ac:dyDescent="0.3">
      <c r="BL579">
        <v>49</v>
      </c>
      <c r="BM579">
        <v>0</v>
      </c>
      <c r="BN579">
        <v>0</v>
      </c>
      <c r="BO579">
        <v>1</v>
      </c>
      <c r="BP579">
        <v>0</v>
      </c>
    </row>
    <row r="580" spans="64:68" x14ac:dyDescent="0.3">
      <c r="BL580">
        <v>51</v>
      </c>
      <c r="BM580">
        <v>0</v>
      </c>
      <c r="BN580">
        <v>0</v>
      </c>
      <c r="BO580">
        <v>1</v>
      </c>
      <c r="BP580">
        <v>0</v>
      </c>
    </row>
    <row r="581" spans="64:68" x14ac:dyDescent="0.3">
      <c r="BL581">
        <v>61</v>
      </c>
      <c r="BM581">
        <v>0</v>
      </c>
      <c r="BN581">
        <v>0</v>
      </c>
      <c r="BO581">
        <v>0</v>
      </c>
      <c r="BP581">
        <v>0</v>
      </c>
    </row>
    <row r="582" spans="64:68" x14ac:dyDescent="0.3">
      <c r="BL582">
        <v>35</v>
      </c>
      <c r="BM582">
        <v>1</v>
      </c>
      <c r="BN582">
        <v>1</v>
      </c>
      <c r="BO582">
        <v>0</v>
      </c>
      <c r="BP582">
        <v>1</v>
      </c>
    </row>
    <row r="583" spans="64:68" x14ac:dyDescent="0.3">
      <c r="BL583">
        <v>45</v>
      </c>
      <c r="BM583">
        <v>0</v>
      </c>
      <c r="BN583">
        <v>0</v>
      </c>
      <c r="BO583">
        <v>1</v>
      </c>
      <c r="BP583">
        <v>0</v>
      </c>
    </row>
    <row r="584" spans="64:68" x14ac:dyDescent="0.3">
      <c r="BL584">
        <v>25</v>
      </c>
      <c r="BM584">
        <v>1</v>
      </c>
      <c r="BN584">
        <v>1</v>
      </c>
      <c r="BO584">
        <v>1</v>
      </c>
      <c r="BP584">
        <v>1</v>
      </c>
    </row>
    <row r="585" spans="64:68" x14ac:dyDescent="0.3">
      <c r="BL585">
        <v>53</v>
      </c>
      <c r="BM585">
        <v>1</v>
      </c>
      <c r="BN585">
        <v>1</v>
      </c>
      <c r="BO585">
        <v>0</v>
      </c>
      <c r="BP585">
        <v>1</v>
      </c>
    </row>
    <row r="586" spans="64:68" x14ac:dyDescent="0.3">
      <c r="BL586">
        <v>37</v>
      </c>
      <c r="BM586">
        <v>1</v>
      </c>
      <c r="BN586">
        <v>1</v>
      </c>
      <c r="BO586">
        <v>0</v>
      </c>
      <c r="BP586">
        <v>1</v>
      </c>
    </row>
    <row r="587" spans="64:68" x14ac:dyDescent="0.3">
      <c r="BL587">
        <v>25</v>
      </c>
      <c r="BM587">
        <v>0</v>
      </c>
      <c r="BN587">
        <v>0</v>
      </c>
      <c r="BO587">
        <v>1</v>
      </c>
      <c r="BP587">
        <v>0</v>
      </c>
    </row>
    <row r="588" spans="64:68" x14ac:dyDescent="0.3">
      <c r="BL588">
        <v>38</v>
      </c>
      <c r="BM588">
        <v>1</v>
      </c>
      <c r="BN588">
        <v>1</v>
      </c>
      <c r="BO588">
        <v>1</v>
      </c>
      <c r="BP588">
        <v>1</v>
      </c>
    </row>
    <row r="589" spans="64:68" x14ac:dyDescent="0.3">
      <c r="BL589">
        <v>50</v>
      </c>
      <c r="BM589">
        <v>1</v>
      </c>
      <c r="BN589">
        <v>1</v>
      </c>
      <c r="BO589">
        <v>0</v>
      </c>
      <c r="BP589">
        <v>1</v>
      </c>
    </row>
    <row r="590" spans="64:68" x14ac:dyDescent="0.3">
      <c r="BL590">
        <v>30</v>
      </c>
      <c r="BM590">
        <v>1</v>
      </c>
      <c r="BN590">
        <v>1</v>
      </c>
      <c r="BO590">
        <v>1</v>
      </c>
      <c r="BP590">
        <v>1</v>
      </c>
    </row>
    <row r="591" spans="64:68" x14ac:dyDescent="0.3">
      <c r="BL591">
        <v>20</v>
      </c>
      <c r="BM591">
        <v>0</v>
      </c>
      <c r="BN591">
        <v>0</v>
      </c>
      <c r="BO591">
        <v>0</v>
      </c>
      <c r="BP591">
        <v>0</v>
      </c>
    </row>
    <row r="592" spans="64:68" x14ac:dyDescent="0.3">
      <c r="BL592">
        <v>44</v>
      </c>
      <c r="BM592">
        <v>1</v>
      </c>
      <c r="BN592">
        <v>1</v>
      </c>
      <c r="BO592">
        <v>0</v>
      </c>
      <c r="BP592">
        <v>1</v>
      </c>
    </row>
    <row r="593" spans="64:68" x14ac:dyDescent="0.3">
      <c r="BL593">
        <v>57</v>
      </c>
      <c r="BM593">
        <v>0</v>
      </c>
      <c r="BN593">
        <v>0</v>
      </c>
      <c r="BO593">
        <v>1</v>
      </c>
      <c r="BP593">
        <v>0</v>
      </c>
    </row>
    <row r="594" spans="64:68" x14ac:dyDescent="0.3">
      <c r="BL594">
        <v>19</v>
      </c>
      <c r="BM594">
        <v>1</v>
      </c>
      <c r="BN594">
        <v>1</v>
      </c>
      <c r="BO594">
        <v>1</v>
      </c>
      <c r="BP594">
        <v>1</v>
      </c>
    </row>
    <row r="595" spans="64:68" x14ac:dyDescent="0.3">
      <c r="BL595">
        <v>34</v>
      </c>
      <c r="BM595">
        <v>0</v>
      </c>
      <c r="BN595">
        <v>0</v>
      </c>
      <c r="BO595">
        <v>0</v>
      </c>
      <c r="BP595">
        <v>0</v>
      </c>
    </row>
    <row r="596" spans="64:68" x14ac:dyDescent="0.3">
      <c r="BL596">
        <v>42</v>
      </c>
      <c r="BM596">
        <v>1</v>
      </c>
      <c r="BN596">
        <v>1</v>
      </c>
      <c r="BO596">
        <v>1</v>
      </c>
      <c r="BP596">
        <v>1</v>
      </c>
    </row>
    <row r="597" spans="64:68" x14ac:dyDescent="0.3">
      <c r="BL597">
        <v>48</v>
      </c>
      <c r="BM597">
        <v>1</v>
      </c>
      <c r="BN597">
        <v>1</v>
      </c>
      <c r="BO597">
        <v>1</v>
      </c>
      <c r="BP597">
        <v>1</v>
      </c>
    </row>
    <row r="598" spans="64:68" x14ac:dyDescent="0.3">
      <c r="BL598">
        <v>45</v>
      </c>
      <c r="BM598">
        <v>1</v>
      </c>
      <c r="BN598">
        <v>1</v>
      </c>
      <c r="BO598">
        <v>1</v>
      </c>
      <c r="BP598">
        <v>1</v>
      </c>
    </row>
    <row r="599" spans="64:68" x14ac:dyDescent="0.3">
      <c r="BL599">
        <v>48</v>
      </c>
      <c r="BM599">
        <v>0</v>
      </c>
      <c r="BN599">
        <v>0</v>
      </c>
      <c r="BO599">
        <v>1</v>
      </c>
      <c r="BP599">
        <v>0</v>
      </c>
    </row>
    <row r="600" spans="64:68" x14ac:dyDescent="0.3">
      <c r="BL600">
        <v>50</v>
      </c>
      <c r="BM600">
        <v>1</v>
      </c>
      <c r="BN600">
        <v>1</v>
      </c>
      <c r="BO600">
        <v>0</v>
      </c>
      <c r="BP600">
        <v>1</v>
      </c>
    </row>
    <row r="601" spans="64:68" x14ac:dyDescent="0.3">
      <c r="BL601">
        <v>37</v>
      </c>
      <c r="BM601">
        <v>0</v>
      </c>
      <c r="BN601">
        <v>0</v>
      </c>
      <c r="BO601">
        <v>1</v>
      </c>
      <c r="BP601">
        <v>0</v>
      </c>
    </row>
    <row r="602" spans="64:68" x14ac:dyDescent="0.3">
      <c r="BL602">
        <v>28</v>
      </c>
      <c r="BM602">
        <v>1</v>
      </c>
      <c r="BN602">
        <v>1</v>
      </c>
      <c r="BO602">
        <v>0</v>
      </c>
      <c r="BP602">
        <v>1</v>
      </c>
    </row>
    <row r="603" spans="64:68" x14ac:dyDescent="0.3">
      <c r="BL603">
        <v>51</v>
      </c>
      <c r="BM603">
        <v>1</v>
      </c>
      <c r="BN603">
        <v>1</v>
      </c>
      <c r="BO603">
        <v>1</v>
      </c>
      <c r="BP603">
        <v>1</v>
      </c>
    </row>
    <row r="604" spans="64:68" x14ac:dyDescent="0.3">
      <c r="BL604">
        <v>37</v>
      </c>
      <c r="BM604">
        <v>1</v>
      </c>
      <c r="BN604">
        <v>1</v>
      </c>
      <c r="BO604">
        <v>1</v>
      </c>
      <c r="BP604">
        <v>1</v>
      </c>
    </row>
    <row r="605" spans="64:68" x14ac:dyDescent="0.3">
      <c r="BL605">
        <v>12</v>
      </c>
      <c r="BM605">
        <v>0</v>
      </c>
      <c r="BN605">
        <v>0</v>
      </c>
      <c r="BO605">
        <v>1</v>
      </c>
      <c r="BP605">
        <v>0</v>
      </c>
    </row>
    <row r="606" spans="64:68" x14ac:dyDescent="0.3">
      <c r="BL606">
        <v>65</v>
      </c>
      <c r="BM606">
        <v>1</v>
      </c>
      <c r="BN606">
        <v>1</v>
      </c>
      <c r="BO606">
        <v>0</v>
      </c>
      <c r="BP606">
        <v>1</v>
      </c>
    </row>
    <row r="607" spans="64:68" x14ac:dyDescent="0.3">
      <c r="BL607">
        <v>44</v>
      </c>
      <c r="BM607">
        <v>1</v>
      </c>
      <c r="BN607">
        <v>1</v>
      </c>
      <c r="BO607">
        <v>0</v>
      </c>
      <c r="BP607">
        <v>1</v>
      </c>
    </row>
    <row r="608" spans="64:68" x14ac:dyDescent="0.3">
      <c r="BL608">
        <v>52</v>
      </c>
      <c r="BM608">
        <v>1</v>
      </c>
      <c r="BN608">
        <v>1</v>
      </c>
      <c r="BO608">
        <v>0</v>
      </c>
      <c r="BP608">
        <v>1</v>
      </c>
    </row>
    <row r="609" spans="64:68" x14ac:dyDescent="0.3">
      <c r="BL609">
        <v>10</v>
      </c>
      <c r="BM609">
        <v>1</v>
      </c>
      <c r="BN609">
        <v>1</v>
      </c>
      <c r="BO609">
        <v>1</v>
      </c>
      <c r="BP609">
        <v>1</v>
      </c>
    </row>
    <row r="610" spans="64:68" x14ac:dyDescent="0.3">
      <c r="BL610">
        <v>16</v>
      </c>
      <c r="BM610">
        <v>1</v>
      </c>
      <c r="BN610">
        <v>1</v>
      </c>
      <c r="BO610">
        <v>0</v>
      </c>
      <c r="BP610">
        <v>1</v>
      </c>
    </row>
    <row r="611" spans="64:68" x14ac:dyDescent="0.3">
      <c r="BL611">
        <v>17</v>
      </c>
      <c r="BM611">
        <v>1</v>
      </c>
      <c r="BN611">
        <v>1</v>
      </c>
      <c r="BO611">
        <v>0</v>
      </c>
      <c r="BP611">
        <v>1</v>
      </c>
    </row>
    <row r="612" spans="64:68" x14ac:dyDescent="0.3">
      <c r="BL612">
        <v>63</v>
      </c>
      <c r="BM612">
        <v>0</v>
      </c>
      <c r="BN612">
        <v>0</v>
      </c>
      <c r="BO612">
        <v>1</v>
      </c>
      <c r="BP612">
        <v>0</v>
      </c>
    </row>
    <row r="613" spans="64:68" x14ac:dyDescent="0.3">
      <c r="BL613">
        <v>29</v>
      </c>
      <c r="BM613">
        <v>1</v>
      </c>
      <c r="BN613">
        <v>1</v>
      </c>
      <c r="BO613">
        <v>1</v>
      </c>
      <c r="BP613">
        <v>1</v>
      </c>
    </row>
    <row r="614" spans="64:68" x14ac:dyDescent="0.3">
      <c r="BL614">
        <v>62</v>
      </c>
      <c r="BM614">
        <v>0</v>
      </c>
      <c r="BN614">
        <v>0</v>
      </c>
      <c r="BO614">
        <v>1</v>
      </c>
      <c r="BP614">
        <v>0</v>
      </c>
    </row>
    <row r="615" spans="64:68" x14ac:dyDescent="0.3">
      <c r="BL615">
        <v>16</v>
      </c>
      <c r="BM615">
        <v>0</v>
      </c>
      <c r="BN615">
        <v>0</v>
      </c>
      <c r="BO615">
        <v>0</v>
      </c>
      <c r="BP615">
        <v>0</v>
      </c>
    </row>
    <row r="616" spans="64:68" x14ac:dyDescent="0.3">
      <c r="BL616">
        <v>8</v>
      </c>
      <c r="BM616">
        <v>0</v>
      </c>
      <c r="BN616">
        <v>0</v>
      </c>
      <c r="BO616">
        <v>0</v>
      </c>
      <c r="BP616">
        <v>0</v>
      </c>
    </row>
    <row r="617" spans="64:68" x14ac:dyDescent="0.3">
      <c r="BL617">
        <v>10</v>
      </c>
      <c r="BM617">
        <v>1</v>
      </c>
      <c r="BN617">
        <v>1</v>
      </c>
      <c r="BO617">
        <v>0</v>
      </c>
      <c r="BP617">
        <v>1</v>
      </c>
    </row>
    <row r="618" spans="64:68" x14ac:dyDescent="0.3">
      <c r="BL618">
        <v>40</v>
      </c>
      <c r="BM618">
        <v>1</v>
      </c>
      <c r="BN618">
        <v>1</v>
      </c>
      <c r="BO618">
        <v>0</v>
      </c>
      <c r="BP618">
        <v>1</v>
      </c>
    </row>
    <row r="619" spans="64:68" x14ac:dyDescent="0.3">
      <c r="BL619">
        <v>51</v>
      </c>
      <c r="BM619">
        <v>0</v>
      </c>
      <c r="BN619">
        <v>0</v>
      </c>
      <c r="BO619">
        <v>1</v>
      </c>
      <c r="BP619">
        <v>0</v>
      </c>
    </row>
    <row r="620" spans="64:68" x14ac:dyDescent="0.3">
      <c r="BL620">
        <v>40</v>
      </c>
      <c r="BM620">
        <v>1</v>
      </c>
      <c r="BN620">
        <v>1</v>
      </c>
      <c r="BO620">
        <v>1</v>
      </c>
      <c r="BP620">
        <v>1</v>
      </c>
    </row>
    <row r="621" spans="64:68" x14ac:dyDescent="0.3">
      <c r="BL621">
        <v>50</v>
      </c>
      <c r="BM621">
        <v>0</v>
      </c>
      <c r="BN621">
        <v>0</v>
      </c>
      <c r="BO621">
        <v>0</v>
      </c>
      <c r="BP621">
        <v>0</v>
      </c>
    </row>
    <row r="622" spans="64:68" x14ac:dyDescent="0.3">
      <c r="BL622">
        <v>20</v>
      </c>
      <c r="BM622">
        <v>1</v>
      </c>
      <c r="BN622">
        <v>1</v>
      </c>
      <c r="BO622">
        <v>1</v>
      </c>
      <c r="BP622">
        <v>1</v>
      </c>
    </row>
    <row r="623" spans="64:68" x14ac:dyDescent="0.3">
      <c r="BL623">
        <v>27</v>
      </c>
      <c r="BM623">
        <v>0</v>
      </c>
      <c r="BN623">
        <v>0</v>
      </c>
      <c r="BO623">
        <v>0</v>
      </c>
      <c r="BP623">
        <v>0</v>
      </c>
    </row>
    <row r="624" spans="64:68" x14ac:dyDescent="0.3">
      <c r="BL624">
        <v>65</v>
      </c>
      <c r="BM624">
        <v>0</v>
      </c>
      <c r="BN624">
        <v>0</v>
      </c>
      <c r="BO624">
        <v>0</v>
      </c>
      <c r="BP624">
        <v>0</v>
      </c>
    </row>
    <row r="625" spans="64:68" x14ac:dyDescent="0.3">
      <c r="BL625">
        <v>10</v>
      </c>
      <c r="BM625">
        <v>1</v>
      </c>
      <c r="BN625">
        <v>1</v>
      </c>
      <c r="BO625">
        <v>1</v>
      </c>
      <c r="BP625">
        <v>1</v>
      </c>
    </row>
    <row r="626" spans="64:68" x14ac:dyDescent="0.3">
      <c r="BL626">
        <v>33</v>
      </c>
      <c r="BM626">
        <v>1</v>
      </c>
      <c r="BN626">
        <v>1</v>
      </c>
      <c r="BO626">
        <v>1</v>
      </c>
      <c r="BP626">
        <v>1</v>
      </c>
    </row>
    <row r="627" spans="64:68" x14ac:dyDescent="0.3">
      <c r="BL627">
        <v>20</v>
      </c>
      <c r="BM627">
        <v>1</v>
      </c>
      <c r="BN627">
        <v>1</v>
      </c>
      <c r="BO627">
        <v>1</v>
      </c>
      <c r="BP627">
        <v>1</v>
      </c>
    </row>
    <row r="628" spans="64:68" x14ac:dyDescent="0.3">
      <c r="BL628">
        <v>44</v>
      </c>
      <c r="BM628">
        <v>1</v>
      </c>
      <c r="BN628">
        <v>1</v>
      </c>
      <c r="BO628">
        <v>1</v>
      </c>
      <c r="BP628">
        <v>1</v>
      </c>
    </row>
    <row r="629" spans="64:68" x14ac:dyDescent="0.3">
      <c r="BL629">
        <v>62</v>
      </c>
      <c r="BM629">
        <v>0</v>
      </c>
      <c r="BN629">
        <v>0</v>
      </c>
      <c r="BO629">
        <v>0</v>
      </c>
      <c r="BP629">
        <v>0</v>
      </c>
    </row>
    <row r="630" spans="64:68" x14ac:dyDescent="0.3">
      <c r="BL630">
        <v>62</v>
      </c>
      <c r="BM630">
        <v>1</v>
      </c>
      <c r="BN630">
        <v>1</v>
      </c>
      <c r="BO630">
        <v>0</v>
      </c>
      <c r="BP630">
        <v>1</v>
      </c>
    </row>
    <row r="631" spans="64:68" x14ac:dyDescent="0.3">
      <c r="BL631">
        <v>54</v>
      </c>
      <c r="BM631">
        <v>1</v>
      </c>
      <c r="BN631">
        <v>1</v>
      </c>
      <c r="BO631">
        <v>1</v>
      </c>
      <c r="BP631">
        <v>1</v>
      </c>
    </row>
    <row r="632" spans="64:68" x14ac:dyDescent="0.3">
      <c r="BL632">
        <v>62</v>
      </c>
      <c r="BM632">
        <v>0</v>
      </c>
      <c r="BN632">
        <v>0</v>
      </c>
      <c r="BO632">
        <v>1</v>
      </c>
      <c r="BP632">
        <v>0</v>
      </c>
    </row>
    <row r="633" spans="64:68" x14ac:dyDescent="0.3">
      <c r="BL633">
        <v>58</v>
      </c>
      <c r="BM633">
        <v>1</v>
      </c>
      <c r="BN633">
        <v>1</v>
      </c>
      <c r="BO633">
        <v>0</v>
      </c>
      <c r="BP633">
        <v>1</v>
      </c>
    </row>
    <row r="634" spans="64:68" x14ac:dyDescent="0.3">
      <c r="BL634">
        <v>10</v>
      </c>
      <c r="BM634">
        <v>1</v>
      </c>
      <c r="BN634">
        <v>1</v>
      </c>
      <c r="BO634">
        <v>1</v>
      </c>
      <c r="BP634">
        <v>1</v>
      </c>
    </row>
    <row r="635" spans="64:68" x14ac:dyDescent="0.3">
      <c r="BL635">
        <v>47</v>
      </c>
      <c r="BM635">
        <v>0</v>
      </c>
      <c r="BN635">
        <v>0</v>
      </c>
      <c r="BO635">
        <v>1</v>
      </c>
      <c r="BP635">
        <v>0</v>
      </c>
    </row>
    <row r="636" spans="64:68" x14ac:dyDescent="0.3">
      <c r="BL636">
        <v>20</v>
      </c>
      <c r="BM636">
        <v>0</v>
      </c>
      <c r="BN636">
        <v>0</v>
      </c>
      <c r="BO636">
        <v>1</v>
      </c>
      <c r="BP636">
        <v>0</v>
      </c>
    </row>
    <row r="637" spans="64:68" x14ac:dyDescent="0.3">
      <c r="BL637">
        <v>60</v>
      </c>
      <c r="BM637">
        <v>0</v>
      </c>
      <c r="BN637">
        <v>0</v>
      </c>
      <c r="BO637">
        <v>1</v>
      </c>
      <c r="BP637">
        <v>0</v>
      </c>
    </row>
    <row r="638" spans="64:68" x14ac:dyDescent="0.3">
      <c r="BL638">
        <v>28</v>
      </c>
      <c r="BM638">
        <v>0</v>
      </c>
      <c r="BN638">
        <v>0</v>
      </c>
      <c r="BO638">
        <v>0</v>
      </c>
      <c r="BP638">
        <v>0</v>
      </c>
    </row>
    <row r="639" spans="64:68" x14ac:dyDescent="0.3">
      <c r="BL639">
        <v>21</v>
      </c>
      <c r="BM639">
        <v>1</v>
      </c>
      <c r="BN639">
        <v>1</v>
      </c>
      <c r="BO639">
        <v>1</v>
      </c>
      <c r="BP639">
        <v>1</v>
      </c>
    </row>
    <row r="640" spans="64:68" x14ac:dyDescent="0.3">
      <c r="BL640">
        <v>48</v>
      </c>
      <c r="BM640">
        <v>1</v>
      </c>
      <c r="BN640">
        <v>1</v>
      </c>
      <c r="BO640">
        <v>1</v>
      </c>
      <c r="BP640">
        <v>1</v>
      </c>
    </row>
    <row r="641" spans="64:68" x14ac:dyDescent="0.3">
      <c r="BL641">
        <v>45</v>
      </c>
      <c r="BM641">
        <v>0</v>
      </c>
      <c r="BN641">
        <v>0</v>
      </c>
      <c r="BO641">
        <v>0</v>
      </c>
      <c r="BP641">
        <v>0</v>
      </c>
    </row>
    <row r="642" spans="64:68" x14ac:dyDescent="0.3">
      <c r="BL642">
        <v>23</v>
      </c>
      <c r="BM642">
        <v>1</v>
      </c>
      <c r="BN642">
        <v>1</v>
      </c>
      <c r="BO642">
        <v>0</v>
      </c>
      <c r="BP642">
        <v>1</v>
      </c>
    </row>
    <row r="643" spans="64:68" x14ac:dyDescent="0.3">
      <c r="BL643">
        <v>52</v>
      </c>
      <c r="BM643">
        <v>0</v>
      </c>
      <c r="BN643">
        <v>0</v>
      </c>
      <c r="BO643">
        <v>0</v>
      </c>
      <c r="BP643">
        <v>0</v>
      </c>
    </row>
    <row r="644" spans="64:68" x14ac:dyDescent="0.3">
      <c r="BL644">
        <v>28</v>
      </c>
      <c r="BM644">
        <v>1</v>
      </c>
      <c r="BN644">
        <v>1</v>
      </c>
      <c r="BO644">
        <v>1</v>
      </c>
      <c r="BP644">
        <v>1</v>
      </c>
    </row>
    <row r="645" spans="64:68" x14ac:dyDescent="0.3">
      <c r="BL645">
        <v>19</v>
      </c>
      <c r="BM645">
        <v>0</v>
      </c>
      <c r="BN645">
        <v>0</v>
      </c>
      <c r="BO645">
        <v>0</v>
      </c>
      <c r="BP645">
        <v>0</v>
      </c>
    </row>
    <row r="646" spans="64:68" x14ac:dyDescent="0.3">
      <c r="BL646">
        <v>46</v>
      </c>
      <c r="BM646">
        <v>1</v>
      </c>
      <c r="BN646">
        <v>1</v>
      </c>
      <c r="BO646">
        <v>1</v>
      </c>
      <c r="BP646">
        <v>1</v>
      </c>
    </row>
    <row r="647" spans="64:68" x14ac:dyDescent="0.3">
      <c r="BL647">
        <v>61</v>
      </c>
      <c r="BM647">
        <v>0</v>
      </c>
      <c r="BN647">
        <v>0</v>
      </c>
      <c r="BO647">
        <v>0</v>
      </c>
      <c r="BP647">
        <v>0</v>
      </c>
    </row>
    <row r="648" spans="64:68" x14ac:dyDescent="0.3">
      <c r="BL648">
        <v>32</v>
      </c>
      <c r="BM648">
        <v>0</v>
      </c>
      <c r="BN648">
        <v>0</v>
      </c>
      <c r="BO648">
        <v>0</v>
      </c>
      <c r="BP648">
        <v>0</v>
      </c>
    </row>
    <row r="649" spans="64:68" x14ac:dyDescent="0.3">
      <c r="BL649">
        <v>10</v>
      </c>
      <c r="BM649">
        <v>1</v>
      </c>
      <c r="BN649">
        <v>1</v>
      </c>
      <c r="BO649">
        <v>1</v>
      </c>
      <c r="BP649">
        <v>1</v>
      </c>
    </row>
    <row r="650" spans="64:68" x14ac:dyDescent="0.3">
      <c r="BL650">
        <v>27</v>
      </c>
      <c r="BM650">
        <v>1</v>
      </c>
      <c r="BN650">
        <v>1</v>
      </c>
      <c r="BO650">
        <v>1</v>
      </c>
      <c r="BP650">
        <v>1</v>
      </c>
    </row>
    <row r="651" spans="64:68" x14ac:dyDescent="0.3">
      <c r="BL651">
        <v>56</v>
      </c>
      <c r="BM651">
        <v>0</v>
      </c>
      <c r="BN651">
        <v>0</v>
      </c>
      <c r="BO651">
        <v>0</v>
      </c>
      <c r="BP651">
        <v>0</v>
      </c>
    </row>
    <row r="652" spans="64:68" x14ac:dyDescent="0.3">
      <c r="BL652">
        <v>26</v>
      </c>
      <c r="BM652">
        <v>0</v>
      </c>
      <c r="BN652">
        <v>0</v>
      </c>
      <c r="BO652">
        <v>0</v>
      </c>
      <c r="BP652">
        <v>0</v>
      </c>
    </row>
    <row r="653" spans="64:68" x14ac:dyDescent="0.3">
      <c r="BL653">
        <v>15</v>
      </c>
      <c r="BM653">
        <v>1</v>
      </c>
      <c r="BN653">
        <v>1</v>
      </c>
      <c r="BO653">
        <v>0</v>
      </c>
      <c r="BP653">
        <v>1</v>
      </c>
    </row>
    <row r="654" spans="64:68" x14ac:dyDescent="0.3">
      <c r="BL654">
        <v>10</v>
      </c>
      <c r="BM654">
        <v>1</v>
      </c>
      <c r="BN654">
        <v>1</v>
      </c>
      <c r="BO654">
        <v>1</v>
      </c>
      <c r="BP654">
        <v>1</v>
      </c>
    </row>
    <row r="655" spans="64:68" x14ac:dyDescent="0.3">
      <c r="BL655">
        <v>24</v>
      </c>
      <c r="BM655">
        <v>1</v>
      </c>
      <c r="BN655">
        <v>1</v>
      </c>
      <c r="BO655">
        <v>1</v>
      </c>
      <c r="BP655">
        <v>1</v>
      </c>
    </row>
    <row r="656" spans="64:68" x14ac:dyDescent="0.3">
      <c r="BL656">
        <v>51</v>
      </c>
      <c r="BM656">
        <v>0</v>
      </c>
      <c r="BN656">
        <v>0</v>
      </c>
      <c r="BO656">
        <v>1</v>
      </c>
      <c r="BP656">
        <v>0</v>
      </c>
    </row>
    <row r="657" spans="64:68" x14ac:dyDescent="0.3">
      <c r="BL657">
        <v>41</v>
      </c>
      <c r="BM657">
        <v>0</v>
      </c>
      <c r="BN657">
        <v>0</v>
      </c>
      <c r="BO657">
        <v>1</v>
      </c>
      <c r="BP657">
        <v>0</v>
      </c>
    </row>
    <row r="658" spans="64:68" x14ac:dyDescent="0.3">
      <c r="BL658">
        <v>65</v>
      </c>
      <c r="BM658">
        <v>1</v>
      </c>
      <c r="BN658">
        <v>1</v>
      </c>
      <c r="BO658">
        <v>0</v>
      </c>
      <c r="BP658">
        <v>1</v>
      </c>
    </row>
    <row r="659" spans="64:68" x14ac:dyDescent="0.3">
      <c r="BL659">
        <v>51</v>
      </c>
      <c r="BM659">
        <v>0</v>
      </c>
      <c r="BN659">
        <v>0</v>
      </c>
      <c r="BO659">
        <v>1</v>
      </c>
      <c r="BP659">
        <v>0</v>
      </c>
    </row>
    <row r="660" spans="64:68" x14ac:dyDescent="0.3">
      <c r="BL660">
        <v>18</v>
      </c>
      <c r="BM660">
        <v>0</v>
      </c>
      <c r="BN660">
        <v>0</v>
      </c>
      <c r="BO660">
        <v>0</v>
      </c>
      <c r="BP660">
        <v>0</v>
      </c>
    </row>
    <row r="661" spans="64:68" x14ac:dyDescent="0.3">
      <c r="BL661">
        <v>31</v>
      </c>
      <c r="BM661">
        <v>0</v>
      </c>
      <c r="BN661">
        <v>0</v>
      </c>
      <c r="BO661">
        <v>1</v>
      </c>
      <c r="BP661">
        <v>0</v>
      </c>
    </row>
    <row r="662" spans="64:68" x14ac:dyDescent="0.3">
      <c r="BL662">
        <v>30</v>
      </c>
      <c r="BM662">
        <v>1</v>
      </c>
      <c r="BN662">
        <v>1</v>
      </c>
      <c r="BO662">
        <v>0</v>
      </c>
      <c r="BP662">
        <v>1</v>
      </c>
    </row>
    <row r="663" spans="64:68" x14ac:dyDescent="0.3">
      <c r="BL663">
        <v>14</v>
      </c>
      <c r="BM663">
        <v>1</v>
      </c>
      <c r="BN663">
        <v>1</v>
      </c>
      <c r="BO663">
        <v>1</v>
      </c>
      <c r="BP663">
        <v>1</v>
      </c>
    </row>
    <row r="664" spans="64:68" x14ac:dyDescent="0.3">
      <c r="BL664">
        <v>17</v>
      </c>
      <c r="BM664">
        <v>1</v>
      </c>
      <c r="BN664">
        <v>1</v>
      </c>
      <c r="BO664">
        <v>0</v>
      </c>
      <c r="BP664">
        <v>1</v>
      </c>
    </row>
    <row r="665" spans="64:68" x14ac:dyDescent="0.3">
      <c r="BL665">
        <v>63</v>
      </c>
      <c r="BM665">
        <v>1</v>
      </c>
      <c r="BN665">
        <v>1</v>
      </c>
      <c r="BO665">
        <v>0</v>
      </c>
      <c r="BP665">
        <v>1</v>
      </c>
    </row>
    <row r="666" spans="64:68" x14ac:dyDescent="0.3">
      <c r="BL666">
        <v>49</v>
      </c>
      <c r="BM666">
        <v>1</v>
      </c>
      <c r="BN666">
        <v>1</v>
      </c>
      <c r="BO666">
        <v>0</v>
      </c>
      <c r="BP666">
        <v>1</v>
      </c>
    </row>
    <row r="667" spans="64:68" x14ac:dyDescent="0.3">
      <c r="BL667">
        <v>55</v>
      </c>
      <c r="BM667">
        <v>0</v>
      </c>
      <c r="BN667">
        <v>0</v>
      </c>
      <c r="BO667">
        <v>0</v>
      </c>
      <c r="BP667">
        <v>0</v>
      </c>
    </row>
    <row r="668" spans="64:68" x14ac:dyDescent="0.3">
      <c r="BL668">
        <v>17</v>
      </c>
      <c r="BM668">
        <v>1</v>
      </c>
      <c r="BN668">
        <v>1</v>
      </c>
      <c r="BO668">
        <v>0</v>
      </c>
      <c r="BP668">
        <v>1</v>
      </c>
    </row>
    <row r="669" spans="64:68" x14ac:dyDescent="0.3">
      <c r="BL669">
        <v>17</v>
      </c>
      <c r="BM669">
        <v>0</v>
      </c>
      <c r="BN669">
        <v>0</v>
      </c>
      <c r="BO669">
        <v>1</v>
      </c>
      <c r="BP669">
        <v>0</v>
      </c>
    </row>
    <row r="670" spans="64:68" x14ac:dyDescent="0.3">
      <c r="BL670">
        <v>55</v>
      </c>
      <c r="BM670">
        <v>1</v>
      </c>
      <c r="BN670">
        <v>1</v>
      </c>
      <c r="BO670">
        <v>1</v>
      </c>
      <c r="BP670">
        <v>1</v>
      </c>
    </row>
    <row r="671" spans="64:68" x14ac:dyDescent="0.3">
      <c r="BL671">
        <v>57</v>
      </c>
      <c r="BM671">
        <v>1</v>
      </c>
      <c r="BN671">
        <v>1</v>
      </c>
      <c r="BO671">
        <v>0</v>
      </c>
      <c r="BP671">
        <v>1</v>
      </c>
    </row>
    <row r="672" spans="64:68" x14ac:dyDescent="0.3">
      <c r="BL672">
        <v>45</v>
      </c>
      <c r="BM672">
        <v>0</v>
      </c>
      <c r="BN672">
        <v>0</v>
      </c>
      <c r="BO672">
        <v>0</v>
      </c>
      <c r="BP672">
        <v>0</v>
      </c>
    </row>
    <row r="673" spans="64:68" x14ac:dyDescent="0.3">
      <c r="BL673">
        <v>37</v>
      </c>
      <c r="BM673">
        <v>0</v>
      </c>
      <c r="BN673">
        <v>0</v>
      </c>
      <c r="BO673">
        <v>0</v>
      </c>
      <c r="BP673">
        <v>0</v>
      </c>
    </row>
    <row r="674" spans="64:68" x14ac:dyDescent="0.3">
      <c r="BL674">
        <v>47</v>
      </c>
      <c r="BM674">
        <v>1</v>
      </c>
      <c r="BN674">
        <v>1</v>
      </c>
      <c r="BO674">
        <v>1</v>
      </c>
      <c r="BP674">
        <v>1</v>
      </c>
    </row>
    <row r="675" spans="64:68" x14ac:dyDescent="0.3">
      <c r="BL675">
        <v>49</v>
      </c>
      <c r="BM675">
        <v>1</v>
      </c>
      <c r="BN675">
        <v>1</v>
      </c>
      <c r="BO675">
        <v>1</v>
      </c>
      <c r="BP675">
        <v>1</v>
      </c>
    </row>
    <row r="676" spans="64:68" x14ac:dyDescent="0.3">
      <c r="BL676">
        <v>32</v>
      </c>
      <c r="BM676">
        <v>1</v>
      </c>
      <c r="BN676">
        <v>1</v>
      </c>
      <c r="BO676">
        <v>0</v>
      </c>
      <c r="BP676">
        <v>1</v>
      </c>
    </row>
    <row r="677" spans="64:68" x14ac:dyDescent="0.3">
      <c r="BL677">
        <v>33</v>
      </c>
      <c r="BM677">
        <v>1</v>
      </c>
      <c r="BN677">
        <v>1</v>
      </c>
      <c r="BO677">
        <v>0</v>
      </c>
      <c r="BP677">
        <v>1</v>
      </c>
    </row>
    <row r="678" spans="64:68" x14ac:dyDescent="0.3">
      <c r="BL678">
        <v>25</v>
      </c>
      <c r="BM678">
        <v>0</v>
      </c>
      <c r="BN678">
        <v>0</v>
      </c>
      <c r="BO678">
        <v>0</v>
      </c>
      <c r="BP678">
        <v>0</v>
      </c>
    </row>
    <row r="679" spans="64:68" x14ac:dyDescent="0.3">
      <c r="BL679">
        <v>24</v>
      </c>
      <c r="BM679">
        <v>0</v>
      </c>
      <c r="BN679">
        <v>0</v>
      </c>
      <c r="BO679">
        <v>0</v>
      </c>
      <c r="BP679">
        <v>0</v>
      </c>
    </row>
    <row r="680" spans="64:68" x14ac:dyDescent="0.3">
      <c r="BL680">
        <v>22</v>
      </c>
      <c r="BM680">
        <v>0</v>
      </c>
      <c r="BN680">
        <v>0</v>
      </c>
      <c r="BO680">
        <v>0</v>
      </c>
      <c r="BP680">
        <v>0</v>
      </c>
    </row>
    <row r="681" spans="64:68" x14ac:dyDescent="0.3">
      <c r="BL681">
        <v>52</v>
      </c>
      <c r="BM681">
        <v>1</v>
      </c>
      <c r="BN681">
        <v>1</v>
      </c>
      <c r="BO681">
        <v>1</v>
      </c>
      <c r="BP681">
        <v>1</v>
      </c>
    </row>
    <row r="682" spans="64:68" x14ac:dyDescent="0.3">
      <c r="BL682">
        <v>16</v>
      </c>
      <c r="BM682">
        <v>1</v>
      </c>
      <c r="BN682">
        <v>1</v>
      </c>
      <c r="BO682">
        <v>0</v>
      </c>
      <c r="BP682">
        <v>1</v>
      </c>
    </row>
    <row r="683" spans="64:68" x14ac:dyDescent="0.3">
      <c r="BL683">
        <v>19</v>
      </c>
      <c r="BM683">
        <v>0</v>
      </c>
      <c r="BN683">
        <v>0</v>
      </c>
      <c r="BO683">
        <v>0</v>
      </c>
      <c r="BP683">
        <v>0</v>
      </c>
    </row>
    <row r="684" spans="64:68" x14ac:dyDescent="0.3">
      <c r="BL684">
        <v>31</v>
      </c>
      <c r="BM684">
        <v>0</v>
      </c>
      <c r="BN684">
        <v>0</v>
      </c>
      <c r="BO684">
        <v>1</v>
      </c>
      <c r="BP684">
        <v>0</v>
      </c>
    </row>
    <row r="685" spans="64:68" x14ac:dyDescent="0.3">
      <c r="BL685">
        <v>46</v>
      </c>
      <c r="BM685">
        <v>0</v>
      </c>
      <c r="BN685">
        <v>0</v>
      </c>
      <c r="BO685">
        <v>1</v>
      </c>
      <c r="BP685">
        <v>0</v>
      </c>
    </row>
    <row r="686" spans="64:68" x14ac:dyDescent="0.3">
      <c r="BL686">
        <v>61</v>
      </c>
      <c r="BM686">
        <v>1</v>
      </c>
      <c r="BN686">
        <v>1</v>
      </c>
      <c r="BO686">
        <v>0</v>
      </c>
      <c r="BP686">
        <v>1</v>
      </c>
    </row>
    <row r="687" spans="64:68" x14ac:dyDescent="0.3">
      <c r="BL687">
        <v>35</v>
      </c>
      <c r="BM687">
        <v>0</v>
      </c>
      <c r="BN687">
        <v>0</v>
      </c>
      <c r="BO687">
        <v>0</v>
      </c>
      <c r="BP687">
        <v>0</v>
      </c>
    </row>
    <row r="688" spans="64:68" x14ac:dyDescent="0.3">
      <c r="BL688">
        <v>44</v>
      </c>
      <c r="BM688">
        <v>1</v>
      </c>
      <c r="BN688">
        <v>1</v>
      </c>
      <c r="BO688">
        <v>1</v>
      </c>
      <c r="BP688">
        <v>1</v>
      </c>
    </row>
    <row r="689" spans="64:68" x14ac:dyDescent="0.3">
      <c r="BL689">
        <v>12</v>
      </c>
      <c r="BM689">
        <v>0</v>
      </c>
      <c r="BN689">
        <v>0</v>
      </c>
      <c r="BO689">
        <v>1</v>
      </c>
      <c r="BP689">
        <v>0</v>
      </c>
    </row>
    <row r="690" spans="64:68" x14ac:dyDescent="0.3">
      <c r="BL690">
        <v>51</v>
      </c>
      <c r="BM690">
        <v>1</v>
      </c>
      <c r="BN690">
        <v>1</v>
      </c>
      <c r="BO690">
        <v>0</v>
      </c>
      <c r="BP690">
        <v>1</v>
      </c>
    </row>
    <row r="691" spans="64:68" x14ac:dyDescent="0.3">
      <c r="BL691">
        <v>33</v>
      </c>
      <c r="BM691">
        <v>1</v>
      </c>
      <c r="BN691">
        <v>1</v>
      </c>
      <c r="BO691">
        <v>1</v>
      </c>
      <c r="BP691">
        <v>1</v>
      </c>
    </row>
    <row r="692" spans="64:68" x14ac:dyDescent="0.3">
      <c r="BL692">
        <v>53</v>
      </c>
      <c r="BM692">
        <v>1</v>
      </c>
      <c r="BN692">
        <v>1</v>
      </c>
      <c r="BO692">
        <v>1</v>
      </c>
      <c r="BP692">
        <v>1</v>
      </c>
    </row>
    <row r="693" spans="64:68" x14ac:dyDescent="0.3">
      <c r="BL693">
        <v>22</v>
      </c>
      <c r="BM693">
        <v>0</v>
      </c>
      <c r="BN693">
        <v>0</v>
      </c>
      <c r="BO693">
        <v>0</v>
      </c>
      <c r="BP693">
        <v>0</v>
      </c>
    </row>
    <row r="694" spans="64:68" x14ac:dyDescent="0.3">
      <c r="BL694">
        <v>32</v>
      </c>
      <c r="BM694">
        <v>0</v>
      </c>
      <c r="BN694">
        <v>0</v>
      </c>
      <c r="BO694">
        <v>0</v>
      </c>
      <c r="BP694">
        <v>0</v>
      </c>
    </row>
    <row r="695" spans="64:68" x14ac:dyDescent="0.3">
      <c r="BL695">
        <v>36</v>
      </c>
      <c r="BM695">
        <v>0</v>
      </c>
      <c r="BN695">
        <v>0</v>
      </c>
      <c r="BO695">
        <v>1</v>
      </c>
      <c r="BP695">
        <v>0</v>
      </c>
    </row>
    <row r="696" spans="64:68" x14ac:dyDescent="0.3">
      <c r="BL696">
        <v>14</v>
      </c>
      <c r="BM696">
        <v>0</v>
      </c>
      <c r="BN696">
        <v>0</v>
      </c>
      <c r="BO696">
        <v>0</v>
      </c>
      <c r="BP696">
        <v>0</v>
      </c>
    </row>
    <row r="697" spans="64:68" x14ac:dyDescent="0.3">
      <c r="BL697">
        <v>18</v>
      </c>
      <c r="BM697">
        <v>1</v>
      </c>
      <c r="BN697">
        <v>1</v>
      </c>
      <c r="BO697">
        <v>0</v>
      </c>
      <c r="BP697">
        <v>1</v>
      </c>
    </row>
    <row r="698" spans="64:68" x14ac:dyDescent="0.3">
      <c r="BL698">
        <v>52</v>
      </c>
      <c r="BM698">
        <v>1</v>
      </c>
      <c r="BN698">
        <v>1</v>
      </c>
      <c r="BO698">
        <v>1</v>
      </c>
      <c r="BP698">
        <v>1</v>
      </c>
    </row>
    <row r="699" spans="64:68" x14ac:dyDescent="0.3">
      <c r="BL699">
        <v>62</v>
      </c>
      <c r="BM699">
        <v>0</v>
      </c>
      <c r="BN699">
        <v>0</v>
      </c>
      <c r="BO699">
        <v>1</v>
      </c>
      <c r="BP699">
        <v>0</v>
      </c>
    </row>
    <row r="700" spans="64:68" x14ac:dyDescent="0.3">
      <c r="BL700">
        <v>41</v>
      </c>
      <c r="BM700">
        <v>0</v>
      </c>
      <c r="BN700">
        <v>0</v>
      </c>
      <c r="BO700">
        <v>1</v>
      </c>
      <c r="BP700">
        <v>0</v>
      </c>
    </row>
    <row r="701" spans="64:68" x14ac:dyDescent="0.3">
      <c r="BL701">
        <v>25</v>
      </c>
      <c r="BM701">
        <v>0</v>
      </c>
      <c r="BN701">
        <v>0</v>
      </c>
      <c r="BO701">
        <v>1</v>
      </c>
      <c r="BP701">
        <v>0</v>
      </c>
    </row>
    <row r="702" spans="64:68" x14ac:dyDescent="0.3">
      <c r="BL702">
        <v>31</v>
      </c>
      <c r="BM702">
        <v>1</v>
      </c>
      <c r="BN702">
        <v>1</v>
      </c>
      <c r="BO702">
        <v>0</v>
      </c>
      <c r="BP702">
        <v>1</v>
      </c>
    </row>
    <row r="703" spans="64:68" x14ac:dyDescent="0.3">
      <c r="BL703">
        <v>39</v>
      </c>
      <c r="BM703">
        <v>1</v>
      </c>
      <c r="BN703">
        <v>1</v>
      </c>
      <c r="BO703">
        <v>1</v>
      </c>
      <c r="BP703">
        <v>1</v>
      </c>
    </row>
    <row r="704" spans="64:68" x14ac:dyDescent="0.3">
      <c r="BL704">
        <v>26</v>
      </c>
      <c r="BM704">
        <v>0</v>
      </c>
      <c r="BN704">
        <v>0</v>
      </c>
      <c r="BO704">
        <v>0</v>
      </c>
      <c r="BP704">
        <v>0</v>
      </c>
    </row>
    <row r="705" spans="64:68" x14ac:dyDescent="0.3">
      <c r="BL705">
        <v>24</v>
      </c>
      <c r="BM705">
        <v>0</v>
      </c>
      <c r="BN705">
        <v>0</v>
      </c>
      <c r="BO705">
        <v>0</v>
      </c>
      <c r="BP705">
        <v>0</v>
      </c>
    </row>
    <row r="706" spans="64:68" x14ac:dyDescent="0.3">
      <c r="BL706">
        <v>30</v>
      </c>
      <c r="BM706">
        <v>0</v>
      </c>
      <c r="BN706">
        <v>0</v>
      </c>
      <c r="BO706">
        <v>0</v>
      </c>
      <c r="BP706">
        <v>0</v>
      </c>
    </row>
    <row r="707" spans="64:68" x14ac:dyDescent="0.3">
      <c r="BL707">
        <v>20</v>
      </c>
      <c r="BM707">
        <v>1</v>
      </c>
      <c r="BN707">
        <v>1</v>
      </c>
      <c r="BO707">
        <v>1</v>
      </c>
      <c r="BP707">
        <v>1</v>
      </c>
    </row>
    <row r="708" spans="64:68" x14ac:dyDescent="0.3">
      <c r="BL708">
        <v>50</v>
      </c>
      <c r="BM708">
        <v>1</v>
      </c>
      <c r="BN708">
        <v>1</v>
      </c>
      <c r="BO708">
        <v>1</v>
      </c>
      <c r="BP708">
        <v>1</v>
      </c>
    </row>
    <row r="709" spans="64:68" x14ac:dyDescent="0.3">
      <c r="BL709">
        <v>13</v>
      </c>
      <c r="BM709">
        <v>1</v>
      </c>
      <c r="BN709">
        <v>1</v>
      </c>
      <c r="BO709">
        <v>0</v>
      </c>
      <c r="BP709">
        <v>1</v>
      </c>
    </row>
    <row r="710" spans="64:68" x14ac:dyDescent="0.3">
      <c r="BL710">
        <v>44</v>
      </c>
      <c r="BM710">
        <v>1</v>
      </c>
      <c r="BN710">
        <v>1</v>
      </c>
      <c r="BO710">
        <v>0</v>
      </c>
      <c r="BP710">
        <v>1</v>
      </c>
    </row>
    <row r="711" spans="64:68" x14ac:dyDescent="0.3">
      <c r="BL711">
        <v>19</v>
      </c>
      <c r="BM711">
        <v>1</v>
      </c>
      <c r="BN711">
        <v>1</v>
      </c>
      <c r="BO711">
        <v>1</v>
      </c>
      <c r="BP711">
        <v>1</v>
      </c>
    </row>
    <row r="712" spans="64:68" x14ac:dyDescent="0.3">
      <c r="BL712">
        <v>53</v>
      </c>
      <c r="BM712">
        <v>1</v>
      </c>
      <c r="BN712">
        <v>1</v>
      </c>
      <c r="BO712">
        <v>1</v>
      </c>
      <c r="BP712">
        <v>1</v>
      </c>
    </row>
    <row r="713" spans="64:68" x14ac:dyDescent="0.3">
      <c r="BL713">
        <v>12</v>
      </c>
      <c r="BM713">
        <v>0</v>
      </c>
      <c r="BN713">
        <v>0</v>
      </c>
      <c r="BO713">
        <v>0</v>
      </c>
      <c r="BP713">
        <v>0</v>
      </c>
    </row>
    <row r="714" spans="64:68" x14ac:dyDescent="0.3">
      <c r="BL714">
        <v>14</v>
      </c>
      <c r="BM714">
        <v>0</v>
      </c>
      <c r="BN714">
        <v>0</v>
      </c>
      <c r="BO714">
        <v>0</v>
      </c>
      <c r="BP714">
        <v>0</v>
      </c>
    </row>
    <row r="715" spans="64:68" x14ac:dyDescent="0.3">
      <c r="BL715">
        <v>30</v>
      </c>
      <c r="BM715">
        <v>1</v>
      </c>
      <c r="BN715">
        <v>1</v>
      </c>
      <c r="BO715">
        <v>1</v>
      </c>
      <c r="BP715">
        <v>1</v>
      </c>
    </row>
    <row r="716" spans="64:68" x14ac:dyDescent="0.3">
      <c r="BL716">
        <v>48</v>
      </c>
      <c r="BM716">
        <v>0</v>
      </c>
      <c r="BN716">
        <v>0</v>
      </c>
      <c r="BO716">
        <v>1</v>
      </c>
      <c r="BP716">
        <v>0</v>
      </c>
    </row>
    <row r="717" spans="64:68" x14ac:dyDescent="0.3">
      <c r="BL717">
        <v>31</v>
      </c>
      <c r="BM717">
        <v>0</v>
      </c>
      <c r="BN717">
        <v>0</v>
      </c>
      <c r="BO717">
        <v>0</v>
      </c>
      <c r="BP717">
        <v>0</v>
      </c>
    </row>
    <row r="718" spans="64:68" x14ac:dyDescent="0.3">
      <c r="BL718">
        <v>16</v>
      </c>
      <c r="BM718">
        <v>1</v>
      </c>
      <c r="BN718">
        <v>1</v>
      </c>
      <c r="BO718">
        <v>0</v>
      </c>
      <c r="BP718">
        <v>1</v>
      </c>
    </row>
    <row r="719" spans="64:68" x14ac:dyDescent="0.3">
      <c r="BL719">
        <v>38</v>
      </c>
      <c r="BM719">
        <v>1</v>
      </c>
      <c r="BN719">
        <v>1</v>
      </c>
      <c r="BO719">
        <v>1</v>
      </c>
      <c r="BP719">
        <v>1</v>
      </c>
    </row>
    <row r="720" spans="64:68" x14ac:dyDescent="0.3">
      <c r="BL720">
        <v>24</v>
      </c>
      <c r="BM720">
        <v>1</v>
      </c>
      <c r="BN720">
        <v>1</v>
      </c>
      <c r="BO720">
        <v>1</v>
      </c>
      <c r="BP720">
        <v>1</v>
      </c>
    </row>
    <row r="721" spans="64:68" x14ac:dyDescent="0.3">
      <c r="BL721">
        <v>28</v>
      </c>
      <c r="BM721">
        <v>0</v>
      </c>
      <c r="BN721">
        <v>0</v>
      </c>
      <c r="BO721">
        <v>1</v>
      </c>
      <c r="BP721">
        <v>0</v>
      </c>
    </row>
    <row r="722" spans="64:68" x14ac:dyDescent="0.3">
      <c r="BL722">
        <v>52</v>
      </c>
      <c r="BM722">
        <v>1</v>
      </c>
      <c r="BN722">
        <v>1</v>
      </c>
      <c r="BO722">
        <v>0</v>
      </c>
      <c r="BP722">
        <v>1</v>
      </c>
    </row>
    <row r="723" spans="64:68" x14ac:dyDescent="0.3">
      <c r="BL723">
        <v>8</v>
      </c>
      <c r="BM723">
        <v>1</v>
      </c>
      <c r="BN723">
        <v>1</v>
      </c>
      <c r="BO723">
        <v>0</v>
      </c>
      <c r="BP723">
        <v>1</v>
      </c>
    </row>
    <row r="724" spans="64:68" x14ac:dyDescent="0.3">
      <c r="BL724">
        <v>54</v>
      </c>
      <c r="BM724">
        <v>0</v>
      </c>
      <c r="BN724">
        <v>0</v>
      </c>
      <c r="BO724">
        <v>0</v>
      </c>
      <c r="BP724">
        <v>0</v>
      </c>
    </row>
    <row r="725" spans="64:68" x14ac:dyDescent="0.3">
      <c r="BL725">
        <v>9</v>
      </c>
      <c r="BM725">
        <v>1</v>
      </c>
      <c r="BN725">
        <v>1</v>
      </c>
      <c r="BO725">
        <v>1</v>
      </c>
      <c r="BP725">
        <v>1</v>
      </c>
    </row>
    <row r="726" spans="64:68" x14ac:dyDescent="0.3">
      <c r="BL726">
        <v>14</v>
      </c>
      <c r="BM726">
        <v>1</v>
      </c>
      <c r="BN726">
        <v>1</v>
      </c>
      <c r="BO726">
        <v>0</v>
      </c>
      <c r="BP726">
        <v>1</v>
      </c>
    </row>
    <row r="727" spans="64:68" x14ac:dyDescent="0.3">
      <c r="BL727">
        <v>12</v>
      </c>
      <c r="BM727">
        <v>1</v>
      </c>
      <c r="BN727">
        <v>1</v>
      </c>
      <c r="BO727">
        <v>0</v>
      </c>
      <c r="BP727">
        <v>1</v>
      </c>
    </row>
    <row r="728" spans="64:68" x14ac:dyDescent="0.3">
      <c r="BL728">
        <v>49</v>
      </c>
      <c r="BM728">
        <v>0</v>
      </c>
      <c r="BN728">
        <v>0</v>
      </c>
      <c r="BO728">
        <v>1</v>
      </c>
      <c r="BP728">
        <v>0</v>
      </c>
    </row>
    <row r="729" spans="64:68" x14ac:dyDescent="0.3">
      <c r="BL729">
        <v>46</v>
      </c>
      <c r="BM729">
        <v>0</v>
      </c>
      <c r="BN729">
        <v>0</v>
      </c>
      <c r="BO729">
        <v>0</v>
      </c>
      <c r="BP729">
        <v>0</v>
      </c>
    </row>
    <row r="730" spans="64:68" x14ac:dyDescent="0.3">
      <c r="BL730">
        <v>35</v>
      </c>
      <c r="BM730">
        <v>0</v>
      </c>
      <c r="BN730">
        <v>0</v>
      </c>
      <c r="BO730">
        <v>1</v>
      </c>
      <c r="BP730">
        <v>0</v>
      </c>
    </row>
    <row r="731" spans="64:68" x14ac:dyDescent="0.3">
      <c r="BL731">
        <v>45</v>
      </c>
      <c r="BM731">
        <v>1</v>
      </c>
      <c r="BN731">
        <v>1</v>
      </c>
      <c r="BO731">
        <v>0</v>
      </c>
      <c r="BP731">
        <v>1</v>
      </c>
    </row>
    <row r="732" spans="64:68" x14ac:dyDescent="0.3">
      <c r="BL732">
        <v>48</v>
      </c>
      <c r="BM732">
        <v>0</v>
      </c>
      <c r="BN732">
        <v>0</v>
      </c>
      <c r="BO732">
        <v>0</v>
      </c>
      <c r="BP732">
        <v>0</v>
      </c>
    </row>
    <row r="733" spans="64:68" x14ac:dyDescent="0.3">
      <c r="BL733">
        <v>50</v>
      </c>
      <c r="BM733">
        <v>0</v>
      </c>
      <c r="BN733">
        <v>0</v>
      </c>
      <c r="BO733">
        <v>0</v>
      </c>
      <c r="BP733">
        <v>0</v>
      </c>
    </row>
    <row r="734" spans="64:68" x14ac:dyDescent="0.3">
      <c r="BL734">
        <v>37</v>
      </c>
      <c r="BM734">
        <v>0</v>
      </c>
      <c r="BN734">
        <v>0</v>
      </c>
      <c r="BO734">
        <v>0</v>
      </c>
      <c r="BP734">
        <v>0</v>
      </c>
    </row>
    <row r="735" spans="64:68" x14ac:dyDescent="0.3">
      <c r="BL735">
        <v>39</v>
      </c>
      <c r="BM735">
        <v>0</v>
      </c>
      <c r="BN735">
        <v>0</v>
      </c>
      <c r="BO735">
        <v>1</v>
      </c>
      <c r="BP735">
        <v>0</v>
      </c>
    </row>
    <row r="736" spans="64:68" x14ac:dyDescent="0.3">
      <c r="BL736">
        <v>56</v>
      </c>
      <c r="BM736">
        <v>1</v>
      </c>
      <c r="BN736">
        <v>1</v>
      </c>
      <c r="BO736">
        <v>0</v>
      </c>
      <c r="BP736">
        <v>1</v>
      </c>
    </row>
    <row r="737" spans="64:68" x14ac:dyDescent="0.3">
      <c r="BL737">
        <v>11</v>
      </c>
      <c r="BM737">
        <v>0</v>
      </c>
      <c r="BN737">
        <v>0</v>
      </c>
      <c r="BO737">
        <v>1</v>
      </c>
      <c r="BP737">
        <v>0</v>
      </c>
    </row>
    <row r="738" spans="64:68" x14ac:dyDescent="0.3">
      <c r="BL738">
        <v>46</v>
      </c>
      <c r="BM738">
        <v>1</v>
      </c>
      <c r="BN738">
        <v>1</v>
      </c>
      <c r="BO738">
        <v>0</v>
      </c>
      <c r="BP738">
        <v>1</v>
      </c>
    </row>
    <row r="739" spans="64:68" x14ac:dyDescent="0.3">
      <c r="BL739">
        <v>32</v>
      </c>
      <c r="BM739">
        <v>0</v>
      </c>
      <c r="BN739">
        <v>0</v>
      </c>
      <c r="BO739">
        <v>1</v>
      </c>
      <c r="BP739">
        <v>0</v>
      </c>
    </row>
    <row r="740" spans="64:68" x14ac:dyDescent="0.3">
      <c r="BL740">
        <v>65</v>
      </c>
      <c r="BM740">
        <v>0</v>
      </c>
      <c r="BN740">
        <v>0</v>
      </c>
      <c r="BO740">
        <v>0</v>
      </c>
      <c r="BP740">
        <v>0</v>
      </c>
    </row>
    <row r="741" spans="64:68" x14ac:dyDescent="0.3">
      <c r="BL741">
        <v>55</v>
      </c>
      <c r="BM741">
        <v>1</v>
      </c>
      <c r="BN741">
        <v>1</v>
      </c>
      <c r="BO741">
        <v>1</v>
      </c>
      <c r="BP741">
        <v>1</v>
      </c>
    </row>
    <row r="742" spans="64:68" x14ac:dyDescent="0.3">
      <c r="BL742">
        <v>34</v>
      </c>
      <c r="BM742">
        <v>0</v>
      </c>
      <c r="BN742">
        <v>0</v>
      </c>
      <c r="BO742">
        <v>1</v>
      </c>
      <c r="BP742">
        <v>0</v>
      </c>
    </row>
    <row r="743" spans="64:68" x14ac:dyDescent="0.3">
      <c r="BL743">
        <v>21</v>
      </c>
      <c r="BM743">
        <v>0</v>
      </c>
      <c r="BN743">
        <v>0</v>
      </c>
      <c r="BO743">
        <v>0</v>
      </c>
      <c r="BP743">
        <v>0</v>
      </c>
    </row>
    <row r="744" spans="64:68" x14ac:dyDescent="0.3">
      <c r="BL744">
        <v>11</v>
      </c>
      <c r="BM744">
        <v>0</v>
      </c>
      <c r="BN744">
        <v>0</v>
      </c>
      <c r="BO744">
        <v>0</v>
      </c>
      <c r="BP744">
        <v>0</v>
      </c>
    </row>
    <row r="745" spans="64:68" x14ac:dyDescent="0.3">
      <c r="BL745">
        <v>46</v>
      </c>
      <c r="BM745">
        <v>0</v>
      </c>
      <c r="BN745">
        <v>0</v>
      </c>
      <c r="BO745">
        <v>0</v>
      </c>
      <c r="BP745">
        <v>0</v>
      </c>
    </row>
    <row r="746" spans="64:68" x14ac:dyDescent="0.3">
      <c r="BL746">
        <v>21</v>
      </c>
      <c r="BM746">
        <v>1</v>
      </c>
      <c r="BN746">
        <v>1</v>
      </c>
      <c r="BO746">
        <v>0</v>
      </c>
      <c r="BP746">
        <v>1</v>
      </c>
    </row>
    <row r="747" spans="64:68" x14ac:dyDescent="0.3">
      <c r="BL747">
        <v>61</v>
      </c>
      <c r="BM747">
        <v>0</v>
      </c>
      <c r="BN747">
        <v>0</v>
      </c>
      <c r="BO747">
        <v>0</v>
      </c>
      <c r="BP747">
        <v>0</v>
      </c>
    </row>
    <row r="748" spans="64:68" x14ac:dyDescent="0.3">
      <c r="BL748">
        <v>35</v>
      </c>
      <c r="BM748">
        <v>1</v>
      </c>
      <c r="BN748">
        <v>1</v>
      </c>
      <c r="BO748">
        <v>1</v>
      </c>
      <c r="BP748">
        <v>1</v>
      </c>
    </row>
    <row r="749" spans="64:68" x14ac:dyDescent="0.3">
      <c r="BL749">
        <v>46</v>
      </c>
      <c r="BM749">
        <v>1</v>
      </c>
      <c r="BN749">
        <v>1</v>
      </c>
      <c r="BO749">
        <v>1</v>
      </c>
      <c r="BP749">
        <v>1</v>
      </c>
    </row>
    <row r="750" spans="64:68" x14ac:dyDescent="0.3">
      <c r="BL750">
        <v>11</v>
      </c>
      <c r="BM750">
        <v>0</v>
      </c>
      <c r="BN750">
        <v>0</v>
      </c>
      <c r="BO750">
        <v>0</v>
      </c>
      <c r="BP750">
        <v>0</v>
      </c>
    </row>
    <row r="751" spans="64:68" x14ac:dyDescent="0.3">
      <c r="BL751">
        <v>49</v>
      </c>
      <c r="BM751">
        <v>1</v>
      </c>
      <c r="BN751">
        <v>1</v>
      </c>
      <c r="BO751">
        <v>0</v>
      </c>
      <c r="BP751">
        <v>1</v>
      </c>
    </row>
    <row r="752" spans="64:68" x14ac:dyDescent="0.3">
      <c r="BL752">
        <v>43</v>
      </c>
      <c r="BM752">
        <v>1</v>
      </c>
      <c r="BN752">
        <v>1</v>
      </c>
      <c r="BO752">
        <v>1</v>
      </c>
      <c r="BP752">
        <v>1</v>
      </c>
    </row>
    <row r="753" spans="64:68" x14ac:dyDescent="0.3">
      <c r="BL753">
        <v>49</v>
      </c>
      <c r="BM753">
        <v>1</v>
      </c>
      <c r="BN753">
        <v>1</v>
      </c>
      <c r="BO753">
        <v>0</v>
      </c>
      <c r="BP753">
        <v>1</v>
      </c>
    </row>
    <row r="754" spans="64:68" x14ac:dyDescent="0.3">
      <c r="BL754">
        <v>46</v>
      </c>
      <c r="BM754">
        <v>1</v>
      </c>
      <c r="BN754">
        <v>1</v>
      </c>
      <c r="BO754">
        <v>0</v>
      </c>
      <c r="BP754">
        <v>1</v>
      </c>
    </row>
    <row r="755" spans="64:68" x14ac:dyDescent="0.3">
      <c r="BL755">
        <v>50</v>
      </c>
      <c r="BM755">
        <v>0</v>
      </c>
      <c r="BN755">
        <v>0</v>
      </c>
      <c r="BO755">
        <v>1</v>
      </c>
      <c r="BP755">
        <v>0</v>
      </c>
    </row>
    <row r="756" spans="64:68" x14ac:dyDescent="0.3">
      <c r="BL756">
        <v>20</v>
      </c>
      <c r="BM756">
        <v>0</v>
      </c>
      <c r="BN756">
        <v>0</v>
      </c>
      <c r="BO756">
        <v>0</v>
      </c>
      <c r="BP756">
        <v>0</v>
      </c>
    </row>
    <row r="757" spans="64:68" x14ac:dyDescent="0.3">
      <c r="BL757">
        <v>58</v>
      </c>
      <c r="BM757">
        <v>1</v>
      </c>
      <c r="BN757">
        <v>1</v>
      </c>
      <c r="BO757">
        <v>1</v>
      </c>
      <c r="BP757">
        <v>1</v>
      </c>
    </row>
    <row r="758" spans="64:68" x14ac:dyDescent="0.3">
      <c r="BL758">
        <v>46</v>
      </c>
      <c r="BM758">
        <v>0</v>
      </c>
      <c r="BN758">
        <v>0</v>
      </c>
      <c r="BO758">
        <v>0</v>
      </c>
      <c r="BP758">
        <v>0</v>
      </c>
    </row>
    <row r="759" spans="64:68" x14ac:dyDescent="0.3">
      <c r="BL759">
        <v>24</v>
      </c>
      <c r="BM759">
        <v>0</v>
      </c>
      <c r="BN759">
        <v>0</v>
      </c>
      <c r="BO759">
        <v>1</v>
      </c>
      <c r="BP759">
        <v>0</v>
      </c>
    </row>
    <row r="760" spans="64:68" x14ac:dyDescent="0.3">
      <c r="BL760">
        <v>29</v>
      </c>
      <c r="BM760">
        <v>0</v>
      </c>
      <c r="BN760">
        <v>0</v>
      </c>
      <c r="BO760">
        <v>0</v>
      </c>
      <c r="BP760">
        <v>0</v>
      </c>
    </row>
    <row r="761" spans="64:68" x14ac:dyDescent="0.3">
      <c r="BL761">
        <v>46</v>
      </c>
      <c r="BM761">
        <v>0</v>
      </c>
      <c r="BN761">
        <v>0</v>
      </c>
      <c r="BO761">
        <v>1</v>
      </c>
      <c r="BP761">
        <v>0</v>
      </c>
    </row>
    <row r="762" spans="64:68" x14ac:dyDescent="0.3">
      <c r="BL762">
        <v>42</v>
      </c>
      <c r="BM762">
        <v>1</v>
      </c>
      <c r="BN762">
        <v>1</v>
      </c>
      <c r="BO762">
        <v>1</v>
      </c>
      <c r="BP762">
        <v>1</v>
      </c>
    </row>
    <row r="763" spans="64:68" x14ac:dyDescent="0.3">
      <c r="BL763">
        <v>56</v>
      </c>
      <c r="BM763">
        <v>0</v>
      </c>
      <c r="BN763">
        <v>0</v>
      </c>
      <c r="BO763">
        <v>0</v>
      </c>
      <c r="BP763">
        <v>0</v>
      </c>
    </row>
    <row r="764" spans="64:68" x14ac:dyDescent="0.3">
      <c r="BL764">
        <v>8</v>
      </c>
      <c r="BM764">
        <v>0</v>
      </c>
      <c r="BN764">
        <v>0</v>
      </c>
      <c r="BO764">
        <v>0</v>
      </c>
      <c r="BP764">
        <v>0</v>
      </c>
    </row>
    <row r="765" spans="64:68" x14ac:dyDescent="0.3">
      <c r="BL765">
        <v>13</v>
      </c>
      <c r="BM765">
        <v>0</v>
      </c>
      <c r="BN765">
        <v>0</v>
      </c>
      <c r="BO765">
        <v>0</v>
      </c>
      <c r="BP765">
        <v>0</v>
      </c>
    </row>
    <row r="766" spans="64:68" x14ac:dyDescent="0.3">
      <c r="BL766">
        <v>10</v>
      </c>
      <c r="BM766">
        <v>1</v>
      </c>
      <c r="BN766">
        <v>1</v>
      </c>
      <c r="BO766">
        <v>0</v>
      </c>
      <c r="BP766">
        <v>1</v>
      </c>
    </row>
    <row r="767" spans="64:68" x14ac:dyDescent="0.3">
      <c r="BL767">
        <v>34</v>
      </c>
      <c r="BM767">
        <v>0</v>
      </c>
      <c r="BN767">
        <v>0</v>
      </c>
      <c r="BO767">
        <v>1</v>
      </c>
      <c r="BP767">
        <v>0</v>
      </c>
    </row>
    <row r="768" spans="64:68" x14ac:dyDescent="0.3">
      <c r="BL768">
        <v>33</v>
      </c>
      <c r="BM768">
        <v>1</v>
      </c>
      <c r="BN768">
        <v>1</v>
      </c>
      <c r="BO768">
        <v>1</v>
      </c>
      <c r="BP768">
        <v>1</v>
      </c>
    </row>
    <row r="769" spans="64:68" x14ac:dyDescent="0.3">
      <c r="BL769">
        <v>43</v>
      </c>
      <c r="BM769">
        <v>1</v>
      </c>
      <c r="BN769">
        <v>1</v>
      </c>
      <c r="BO769">
        <v>0</v>
      </c>
      <c r="BP769">
        <v>1</v>
      </c>
    </row>
    <row r="770" spans="64:68" x14ac:dyDescent="0.3">
      <c r="BL770">
        <v>36</v>
      </c>
      <c r="BM770">
        <v>1</v>
      </c>
      <c r="BN770">
        <v>1</v>
      </c>
      <c r="BO770">
        <v>0</v>
      </c>
      <c r="BP770">
        <v>1</v>
      </c>
    </row>
    <row r="771" spans="64:68" x14ac:dyDescent="0.3">
      <c r="BL771">
        <v>50</v>
      </c>
      <c r="BM771">
        <v>1</v>
      </c>
      <c r="BN771">
        <v>1</v>
      </c>
      <c r="BO771">
        <v>0</v>
      </c>
      <c r="BP771">
        <v>1</v>
      </c>
    </row>
    <row r="772" spans="64:68" x14ac:dyDescent="0.3">
      <c r="BL772">
        <v>14</v>
      </c>
      <c r="BM772">
        <v>1</v>
      </c>
      <c r="BN772">
        <v>1</v>
      </c>
      <c r="BO772">
        <v>0</v>
      </c>
      <c r="BP772">
        <v>1</v>
      </c>
    </row>
    <row r="773" spans="64:68" x14ac:dyDescent="0.3">
      <c r="BL773">
        <v>10</v>
      </c>
      <c r="BM773">
        <v>0</v>
      </c>
      <c r="BN773">
        <v>0</v>
      </c>
      <c r="BO773">
        <v>1</v>
      </c>
      <c r="BP773">
        <v>0</v>
      </c>
    </row>
    <row r="774" spans="64:68" x14ac:dyDescent="0.3">
      <c r="BL774">
        <v>50</v>
      </c>
      <c r="BM774">
        <v>1</v>
      </c>
      <c r="BN774">
        <v>1</v>
      </c>
      <c r="BO774">
        <v>0</v>
      </c>
      <c r="BP774">
        <v>1</v>
      </c>
    </row>
    <row r="775" spans="64:68" x14ac:dyDescent="0.3">
      <c r="BL775">
        <v>62</v>
      </c>
      <c r="BM775">
        <v>1</v>
      </c>
      <c r="BN775">
        <v>1</v>
      </c>
      <c r="BO775">
        <v>0</v>
      </c>
      <c r="BP775">
        <v>1</v>
      </c>
    </row>
    <row r="776" spans="64:68" x14ac:dyDescent="0.3">
      <c r="BL776">
        <v>11</v>
      </c>
      <c r="BM776">
        <v>0</v>
      </c>
      <c r="BN776">
        <v>0</v>
      </c>
      <c r="BO776">
        <v>0</v>
      </c>
      <c r="BP776">
        <v>0</v>
      </c>
    </row>
    <row r="777" spans="64:68" x14ac:dyDescent="0.3">
      <c r="BL777">
        <v>40</v>
      </c>
      <c r="BM777">
        <v>1</v>
      </c>
      <c r="BN777">
        <v>1</v>
      </c>
      <c r="BO777">
        <v>1</v>
      </c>
      <c r="BP777">
        <v>1</v>
      </c>
    </row>
    <row r="778" spans="64:68" x14ac:dyDescent="0.3">
      <c r="BL778">
        <v>50</v>
      </c>
      <c r="BM778">
        <v>1</v>
      </c>
      <c r="BN778">
        <v>1</v>
      </c>
      <c r="BO778">
        <v>1</v>
      </c>
      <c r="BP778">
        <v>1</v>
      </c>
    </row>
    <row r="779" spans="64:68" x14ac:dyDescent="0.3">
      <c r="BL779">
        <v>17</v>
      </c>
      <c r="BM779">
        <v>0</v>
      </c>
      <c r="BN779">
        <v>0</v>
      </c>
      <c r="BO779">
        <v>0</v>
      </c>
      <c r="BP779">
        <v>0</v>
      </c>
    </row>
    <row r="780" spans="64:68" x14ac:dyDescent="0.3">
      <c r="BL780">
        <v>31</v>
      </c>
      <c r="BM780">
        <v>1</v>
      </c>
      <c r="BN780">
        <v>1</v>
      </c>
      <c r="BO780">
        <v>1</v>
      </c>
      <c r="BP780">
        <v>1</v>
      </c>
    </row>
    <row r="781" spans="64:68" x14ac:dyDescent="0.3">
      <c r="BL781">
        <v>53</v>
      </c>
      <c r="BM781">
        <v>1</v>
      </c>
      <c r="BN781">
        <v>1</v>
      </c>
      <c r="BO781">
        <v>1</v>
      </c>
      <c r="BP781">
        <v>1</v>
      </c>
    </row>
    <row r="782" spans="64:68" x14ac:dyDescent="0.3">
      <c r="BL782">
        <v>29</v>
      </c>
      <c r="BM782">
        <v>0</v>
      </c>
      <c r="BN782">
        <v>0</v>
      </c>
      <c r="BO782">
        <v>1</v>
      </c>
      <c r="BP782">
        <v>0</v>
      </c>
    </row>
    <row r="783" spans="64:68" x14ac:dyDescent="0.3">
      <c r="BL783">
        <v>32</v>
      </c>
      <c r="BM783">
        <v>1</v>
      </c>
      <c r="BN783">
        <v>1</v>
      </c>
      <c r="BO783">
        <v>1</v>
      </c>
      <c r="BP783">
        <v>1</v>
      </c>
    </row>
    <row r="784" spans="64:68" x14ac:dyDescent="0.3">
      <c r="BL784">
        <v>45</v>
      </c>
      <c r="BM784">
        <v>0</v>
      </c>
      <c r="BN784">
        <v>0</v>
      </c>
      <c r="BO784">
        <v>0</v>
      </c>
      <c r="BP784">
        <v>0</v>
      </c>
    </row>
    <row r="785" spans="64:68" x14ac:dyDescent="0.3">
      <c r="BL785">
        <v>63</v>
      </c>
      <c r="BM785">
        <v>0</v>
      </c>
      <c r="BN785">
        <v>0</v>
      </c>
      <c r="BO785">
        <v>1</v>
      </c>
      <c r="BP785">
        <v>0</v>
      </c>
    </row>
    <row r="786" spans="64:68" x14ac:dyDescent="0.3">
      <c r="BL786">
        <v>22</v>
      </c>
      <c r="BM786">
        <v>1</v>
      </c>
      <c r="BN786">
        <v>1</v>
      </c>
      <c r="BO786">
        <v>1</v>
      </c>
      <c r="BP786">
        <v>1</v>
      </c>
    </row>
    <row r="787" spans="64:68" x14ac:dyDescent="0.3">
      <c r="BL787">
        <v>46</v>
      </c>
      <c r="BM787">
        <v>0</v>
      </c>
      <c r="BN787">
        <v>0</v>
      </c>
      <c r="BO787">
        <v>0</v>
      </c>
      <c r="BP787">
        <v>0</v>
      </c>
    </row>
    <row r="788" spans="64:68" x14ac:dyDescent="0.3">
      <c r="BL788">
        <v>31</v>
      </c>
      <c r="BM788">
        <v>1</v>
      </c>
      <c r="BN788">
        <v>1</v>
      </c>
      <c r="BO788">
        <v>0</v>
      </c>
      <c r="BP788">
        <v>1</v>
      </c>
    </row>
    <row r="789" spans="64:68" x14ac:dyDescent="0.3">
      <c r="BL789">
        <v>42</v>
      </c>
      <c r="BM789">
        <v>1</v>
      </c>
      <c r="BN789">
        <v>1</v>
      </c>
      <c r="BO789">
        <v>1</v>
      </c>
      <c r="BP789">
        <v>1</v>
      </c>
    </row>
    <row r="790" spans="64:68" x14ac:dyDescent="0.3">
      <c r="BL790">
        <v>54</v>
      </c>
      <c r="BM790">
        <v>0</v>
      </c>
      <c r="BN790">
        <v>0</v>
      </c>
      <c r="BO790">
        <v>0</v>
      </c>
      <c r="BP790">
        <v>0</v>
      </c>
    </row>
    <row r="791" spans="64:68" x14ac:dyDescent="0.3">
      <c r="BL791">
        <v>27</v>
      </c>
      <c r="BM791">
        <v>0</v>
      </c>
      <c r="BN791">
        <v>0</v>
      </c>
      <c r="BO791">
        <v>1</v>
      </c>
      <c r="BP791">
        <v>0</v>
      </c>
    </row>
    <row r="792" spans="64:68" x14ac:dyDescent="0.3">
      <c r="BL792">
        <v>57</v>
      </c>
      <c r="BM792">
        <v>1</v>
      </c>
      <c r="BN792">
        <v>1</v>
      </c>
      <c r="BO792">
        <v>1</v>
      </c>
      <c r="BP792">
        <v>1</v>
      </c>
    </row>
    <row r="793" spans="64:68" x14ac:dyDescent="0.3">
      <c r="BL793">
        <v>46</v>
      </c>
      <c r="BM793">
        <v>1</v>
      </c>
      <c r="BN793">
        <v>1</v>
      </c>
      <c r="BO793">
        <v>1</v>
      </c>
      <c r="BP793">
        <v>1</v>
      </c>
    </row>
    <row r="794" spans="64:68" x14ac:dyDescent="0.3">
      <c r="BL794">
        <v>29</v>
      </c>
      <c r="BM794">
        <v>0</v>
      </c>
      <c r="BN794">
        <v>0</v>
      </c>
      <c r="BO794">
        <v>1</v>
      </c>
      <c r="BP794">
        <v>0</v>
      </c>
    </row>
    <row r="795" spans="64:68" x14ac:dyDescent="0.3">
      <c r="BL795">
        <v>34</v>
      </c>
      <c r="BM795">
        <v>1</v>
      </c>
      <c r="BN795">
        <v>1</v>
      </c>
      <c r="BO795">
        <v>0</v>
      </c>
      <c r="BP795">
        <v>1</v>
      </c>
    </row>
    <row r="796" spans="64:68" x14ac:dyDescent="0.3">
      <c r="BL796">
        <v>41</v>
      </c>
      <c r="BM796">
        <v>1</v>
      </c>
      <c r="BN796">
        <v>1</v>
      </c>
      <c r="BO796">
        <v>1</v>
      </c>
      <c r="BP796">
        <v>1</v>
      </c>
    </row>
    <row r="797" spans="64:68" x14ac:dyDescent="0.3">
      <c r="BL797">
        <v>10</v>
      </c>
      <c r="BM797">
        <v>0</v>
      </c>
      <c r="BN797">
        <v>0</v>
      </c>
      <c r="BO797">
        <v>1</v>
      </c>
      <c r="BP797">
        <v>0</v>
      </c>
    </row>
    <row r="798" spans="64:68" x14ac:dyDescent="0.3">
      <c r="BL798">
        <v>27</v>
      </c>
      <c r="BM798">
        <v>1</v>
      </c>
      <c r="BN798">
        <v>1</v>
      </c>
      <c r="BO798">
        <v>0</v>
      </c>
      <c r="BP798">
        <v>1</v>
      </c>
    </row>
    <row r="799" spans="64:68" x14ac:dyDescent="0.3">
      <c r="BL799">
        <v>26</v>
      </c>
      <c r="BM799">
        <v>1</v>
      </c>
      <c r="BN799">
        <v>1</v>
      </c>
      <c r="BO799">
        <v>1</v>
      </c>
      <c r="BP799">
        <v>1</v>
      </c>
    </row>
    <row r="800" spans="64:68" x14ac:dyDescent="0.3">
      <c r="BL800">
        <v>62</v>
      </c>
      <c r="BM800">
        <v>1</v>
      </c>
      <c r="BN800">
        <v>1</v>
      </c>
      <c r="BO800">
        <v>1</v>
      </c>
      <c r="BP800">
        <v>1</v>
      </c>
    </row>
    <row r="801" spans="64:68" x14ac:dyDescent="0.3">
      <c r="BL801">
        <v>28</v>
      </c>
      <c r="BM801">
        <v>1</v>
      </c>
      <c r="BN801">
        <v>1</v>
      </c>
      <c r="BO801">
        <v>1</v>
      </c>
      <c r="BP801">
        <v>1</v>
      </c>
    </row>
    <row r="802" spans="64:68" x14ac:dyDescent="0.3">
      <c r="BL802">
        <v>44</v>
      </c>
      <c r="BM802">
        <v>1</v>
      </c>
      <c r="BN802">
        <v>1</v>
      </c>
      <c r="BO802">
        <v>0</v>
      </c>
      <c r="BP802">
        <v>1</v>
      </c>
    </row>
    <row r="803" spans="64:68" x14ac:dyDescent="0.3">
      <c r="BL803">
        <v>39</v>
      </c>
      <c r="BM803">
        <v>1</v>
      </c>
      <c r="BN803">
        <v>1</v>
      </c>
      <c r="BO803">
        <v>1</v>
      </c>
      <c r="BP803">
        <v>1</v>
      </c>
    </row>
    <row r="804" spans="64:68" x14ac:dyDescent="0.3">
      <c r="BL804">
        <v>11</v>
      </c>
      <c r="BM804">
        <v>0</v>
      </c>
      <c r="BN804">
        <v>0</v>
      </c>
      <c r="BO804">
        <v>1</v>
      </c>
      <c r="BP804">
        <v>0</v>
      </c>
    </row>
    <row r="805" spans="64:68" x14ac:dyDescent="0.3">
      <c r="BL805">
        <v>51</v>
      </c>
      <c r="BM805">
        <v>0</v>
      </c>
      <c r="BN805">
        <v>0</v>
      </c>
      <c r="BO805">
        <v>1</v>
      </c>
      <c r="BP805">
        <v>0</v>
      </c>
    </row>
    <row r="806" spans="64:68" x14ac:dyDescent="0.3">
      <c r="BL806">
        <v>34</v>
      </c>
      <c r="BM806">
        <v>1</v>
      </c>
      <c r="BN806">
        <v>1</v>
      </c>
      <c r="BO806">
        <v>0</v>
      </c>
      <c r="BP806">
        <v>1</v>
      </c>
    </row>
    <row r="807" spans="64:68" x14ac:dyDescent="0.3">
      <c r="BL807">
        <v>17</v>
      </c>
      <c r="BM807">
        <v>0</v>
      </c>
      <c r="BN807">
        <v>0</v>
      </c>
      <c r="BO807">
        <v>0</v>
      </c>
      <c r="BP807">
        <v>0</v>
      </c>
    </row>
    <row r="808" spans="64:68" x14ac:dyDescent="0.3">
      <c r="BL808">
        <v>12</v>
      </c>
      <c r="BM808">
        <v>1</v>
      </c>
      <c r="BN808">
        <v>1</v>
      </c>
      <c r="BO808">
        <v>0</v>
      </c>
      <c r="BP808">
        <v>1</v>
      </c>
    </row>
    <row r="809" spans="64:68" x14ac:dyDescent="0.3">
      <c r="BL809">
        <v>51</v>
      </c>
      <c r="BM809">
        <v>0</v>
      </c>
      <c r="BN809">
        <v>0</v>
      </c>
      <c r="BO809">
        <v>1</v>
      </c>
      <c r="BP809">
        <v>0</v>
      </c>
    </row>
    <row r="810" spans="64:68" x14ac:dyDescent="0.3">
      <c r="BL810">
        <v>49</v>
      </c>
      <c r="BM810">
        <v>0</v>
      </c>
      <c r="BN810">
        <v>0</v>
      </c>
      <c r="BO810">
        <v>1</v>
      </c>
      <c r="BP810">
        <v>0</v>
      </c>
    </row>
    <row r="811" spans="64:68" x14ac:dyDescent="0.3">
      <c r="BL811">
        <v>40</v>
      </c>
      <c r="BM811">
        <v>1</v>
      </c>
      <c r="BN811">
        <v>1</v>
      </c>
      <c r="BO811">
        <v>0</v>
      </c>
      <c r="BP811">
        <v>1</v>
      </c>
    </row>
    <row r="812" spans="64:68" x14ac:dyDescent="0.3">
      <c r="BL812">
        <v>50</v>
      </c>
      <c r="BM812">
        <v>0</v>
      </c>
      <c r="BN812">
        <v>0</v>
      </c>
      <c r="BO812">
        <v>1</v>
      </c>
      <c r="BP812">
        <v>0</v>
      </c>
    </row>
    <row r="813" spans="64:68" x14ac:dyDescent="0.3">
      <c r="BL813">
        <v>31</v>
      </c>
      <c r="BM813">
        <v>1</v>
      </c>
      <c r="BN813">
        <v>1</v>
      </c>
      <c r="BO813">
        <v>1</v>
      </c>
      <c r="BP813">
        <v>1</v>
      </c>
    </row>
    <row r="814" spans="64:68" x14ac:dyDescent="0.3">
      <c r="BL814">
        <v>49</v>
      </c>
      <c r="BM814">
        <v>1</v>
      </c>
      <c r="BN814">
        <v>1</v>
      </c>
      <c r="BO814">
        <v>1</v>
      </c>
      <c r="BP814">
        <v>1</v>
      </c>
    </row>
    <row r="815" spans="64:68" x14ac:dyDescent="0.3">
      <c r="BL815">
        <v>35</v>
      </c>
      <c r="BM815">
        <v>1</v>
      </c>
      <c r="BN815">
        <v>1</v>
      </c>
      <c r="BO815">
        <v>0</v>
      </c>
      <c r="BP815">
        <v>1</v>
      </c>
    </row>
    <row r="816" spans="64:68" x14ac:dyDescent="0.3">
      <c r="BL816">
        <v>16</v>
      </c>
      <c r="BM816">
        <v>1</v>
      </c>
      <c r="BN816">
        <v>1</v>
      </c>
      <c r="BO816">
        <v>0</v>
      </c>
      <c r="BP816">
        <v>1</v>
      </c>
    </row>
    <row r="817" spans="64:68" x14ac:dyDescent="0.3">
      <c r="BL817">
        <v>37</v>
      </c>
      <c r="BM817">
        <v>0</v>
      </c>
      <c r="BN817">
        <v>0</v>
      </c>
      <c r="BO817">
        <v>0</v>
      </c>
      <c r="BP817">
        <v>0</v>
      </c>
    </row>
    <row r="818" spans="64:68" x14ac:dyDescent="0.3">
      <c r="BL818">
        <v>48</v>
      </c>
      <c r="BM818">
        <v>0</v>
      </c>
      <c r="BN818">
        <v>0</v>
      </c>
      <c r="BO818">
        <v>0</v>
      </c>
      <c r="BP818">
        <v>0</v>
      </c>
    </row>
    <row r="819" spans="64:68" x14ac:dyDescent="0.3">
      <c r="BL819">
        <v>11</v>
      </c>
      <c r="BM819">
        <v>0</v>
      </c>
      <c r="BN819">
        <v>0</v>
      </c>
      <c r="BO819">
        <v>0</v>
      </c>
      <c r="BP819">
        <v>0</v>
      </c>
    </row>
    <row r="820" spans="64:68" x14ac:dyDescent="0.3">
      <c r="BL820">
        <v>21</v>
      </c>
      <c r="BM820">
        <v>1</v>
      </c>
      <c r="BN820">
        <v>1</v>
      </c>
      <c r="BO820">
        <v>1</v>
      </c>
      <c r="BP820">
        <v>1</v>
      </c>
    </row>
    <row r="821" spans="64:68" x14ac:dyDescent="0.3">
      <c r="BL821">
        <v>45</v>
      </c>
      <c r="BM821">
        <v>1</v>
      </c>
      <c r="BN821">
        <v>1</v>
      </c>
      <c r="BO821">
        <v>0</v>
      </c>
      <c r="BP821">
        <v>1</v>
      </c>
    </row>
    <row r="822" spans="64:68" x14ac:dyDescent="0.3">
      <c r="BL822">
        <v>53</v>
      </c>
      <c r="BM822">
        <v>0</v>
      </c>
      <c r="BN822">
        <v>0</v>
      </c>
      <c r="BO822">
        <v>1</v>
      </c>
      <c r="BP822">
        <v>0</v>
      </c>
    </row>
    <row r="823" spans="64:68" x14ac:dyDescent="0.3">
      <c r="BL823">
        <v>13</v>
      </c>
      <c r="BM823">
        <v>1</v>
      </c>
      <c r="BN823">
        <v>1</v>
      </c>
      <c r="BO823">
        <v>1</v>
      </c>
      <c r="BP823">
        <v>1</v>
      </c>
    </row>
    <row r="824" spans="64:68" x14ac:dyDescent="0.3">
      <c r="BL824">
        <v>18</v>
      </c>
      <c r="BM824">
        <v>0</v>
      </c>
      <c r="BN824">
        <v>0</v>
      </c>
      <c r="BO824">
        <v>1</v>
      </c>
      <c r="BP824">
        <v>0</v>
      </c>
    </row>
    <row r="825" spans="64:68" x14ac:dyDescent="0.3">
      <c r="BL825">
        <v>34</v>
      </c>
      <c r="BM825">
        <v>1</v>
      </c>
      <c r="BN825">
        <v>1</v>
      </c>
      <c r="BO825">
        <v>1</v>
      </c>
      <c r="BP825">
        <v>1</v>
      </c>
    </row>
    <row r="826" spans="64:68" x14ac:dyDescent="0.3">
      <c r="BL826">
        <v>22</v>
      </c>
      <c r="BM826">
        <v>0</v>
      </c>
      <c r="BN826">
        <v>0</v>
      </c>
      <c r="BO826">
        <v>0</v>
      </c>
      <c r="BP826">
        <v>0</v>
      </c>
    </row>
    <row r="827" spans="64:68" x14ac:dyDescent="0.3">
      <c r="BL827">
        <v>39</v>
      </c>
      <c r="BM827">
        <v>1</v>
      </c>
      <c r="BN827">
        <v>1</v>
      </c>
      <c r="BO827">
        <v>1</v>
      </c>
      <c r="BP827">
        <v>1</v>
      </c>
    </row>
    <row r="828" spans="64:68" x14ac:dyDescent="0.3">
      <c r="BL828">
        <v>21</v>
      </c>
      <c r="BM828">
        <v>0</v>
      </c>
      <c r="BN828">
        <v>0</v>
      </c>
      <c r="BO828">
        <v>0</v>
      </c>
      <c r="BP828">
        <v>0</v>
      </c>
    </row>
    <row r="829" spans="64:68" x14ac:dyDescent="0.3">
      <c r="BL829">
        <v>64</v>
      </c>
      <c r="BM829">
        <v>0</v>
      </c>
      <c r="BN829">
        <v>0</v>
      </c>
      <c r="BO829">
        <v>0</v>
      </c>
      <c r="BP829">
        <v>0</v>
      </c>
    </row>
    <row r="830" spans="64:68" x14ac:dyDescent="0.3">
      <c r="BL830">
        <v>53</v>
      </c>
      <c r="BM830">
        <v>0</v>
      </c>
      <c r="BN830">
        <v>0</v>
      </c>
      <c r="BO830">
        <v>0</v>
      </c>
      <c r="BP830">
        <v>0</v>
      </c>
    </row>
    <row r="831" spans="64:68" x14ac:dyDescent="0.3">
      <c r="BL831">
        <v>21</v>
      </c>
      <c r="BM831">
        <v>1</v>
      </c>
      <c r="BN831">
        <v>1</v>
      </c>
      <c r="BO831">
        <v>1</v>
      </c>
      <c r="BP831">
        <v>1</v>
      </c>
    </row>
    <row r="832" spans="64:68" x14ac:dyDescent="0.3">
      <c r="BL832">
        <v>40</v>
      </c>
      <c r="BM832">
        <v>1</v>
      </c>
      <c r="BN832">
        <v>1</v>
      </c>
      <c r="BO832">
        <v>1</v>
      </c>
      <c r="BP832">
        <v>1</v>
      </c>
    </row>
    <row r="833" spans="64:68" x14ac:dyDescent="0.3">
      <c r="BL833">
        <v>39</v>
      </c>
      <c r="BM833">
        <v>1</v>
      </c>
      <c r="BN833">
        <v>1</v>
      </c>
      <c r="BO833">
        <v>1</v>
      </c>
      <c r="BP833">
        <v>1</v>
      </c>
    </row>
    <row r="834" spans="64:68" x14ac:dyDescent="0.3">
      <c r="BL834">
        <v>47</v>
      </c>
      <c r="BM834">
        <v>1</v>
      </c>
      <c r="BN834">
        <v>1</v>
      </c>
      <c r="BO834">
        <v>1</v>
      </c>
      <c r="BP834">
        <v>1</v>
      </c>
    </row>
    <row r="835" spans="64:68" x14ac:dyDescent="0.3">
      <c r="BL835">
        <v>52</v>
      </c>
      <c r="BM835">
        <v>0</v>
      </c>
      <c r="BN835">
        <v>0</v>
      </c>
      <c r="BO835">
        <v>1</v>
      </c>
      <c r="BP835">
        <v>0</v>
      </c>
    </row>
    <row r="836" spans="64:68" x14ac:dyDescent="0.3">
      <c r="BL836">
        <v>17</v>
      </c>
      <c r="BM836">
        <v>1</v>
      </c>
      <c r="BN836">
        <v>1</v>
      </c>
      <c r="BO836">
        <v>1</v>
      </c>
      <c r="BP836">
        <v>1</v>
      </c>
    </row>
    <row r="837" spans="64:68" x14ac:dyDescent="0.3">
      <c r="BL837">
        <v>65</v>
      </c>
      <c r="BM837">
        <v>0</v>
      </c>
      <c r="BN837">
        <v>0</v>
      </c>
      <c r="BO837">
        <v>0</v>
      </c>
      <c r="BP837">
        <v>0</v>
      </c>
    </row>
    <row r="838" spans="64:68" x14ac:dyDescent="0.3">
      <c r="BL838">
        <v>32</v>
      </c>
      <c r="BM838">
        <v>0</v>
      </c>
      <c r="BN838">
        <v>0</v>
      </c>
      <c r="BO838">
        <v>1</v>
      </c>
      <c r="BP838">
        <v>0</v>
      </c>
    </row>
    <row r="839" spans="64:68" x14ac:dyDescent="0.3">
      <c r="BL839">
        <v>8</v>
      </c>
      <c r="BM839">
        <v>1</v>
      </c>
      <c r="BN839">
        <v>1</v>
      </c>
      <c r="BO839">
        <v>0</v>
      </c>
      <c r="BP839">
        <v>1</v>
      </c>
    </row>
    <row r="840" spans="64:68" x14ac:dyDescent="0.3">
      <c r="BL840">
        <v>55</v>
      </c>
      <c r="BM840">
        <v>0</v>
      </c>
      <c r="BN840">
        <v>0</v>
      </c>
      <c r="BO840">
        <v>1</v>
      </c>
      <c r="BP840">
        <v>0</v>
      </c>
    </row>
    <row r="841" spans="64:68" x14ac:dyDescent="0.3">
      <c r="BL841">
        <v>47</v>
      </c>
      <c r="BM841">
        <v>0</v>
      </c>
      <c r="BN841">
        <v>0</v>
      </c>
      <c r="BO841">
        <v>0</v>
      </c>
      <c r="BP841">
        <v>0</v>
      </c>
    </row>
    <row r="842" spans="64:68" x14ac:dyDescent="0.3">
      <c r="BL842">
        <v>47</v>
      </c>
      <c r="BM842">
        <v>0</v>
      </c>
      <c r="BN842">
        <v>0</v>
      </c>
      <c r="BO842">
        <v>0</v>
      </c>
      <c r="BP842">
        <v>0</v>
      </c>
    </row>
    <row r="843" spans="64:68" x14ac:dyDescent="0.3">
      <c r="BL843">
        <v>47</v>
      </c>
      <c r="BM843">
        <v>0</v>
      </c>
      <c r="BN843">
        <v>0</v>
      </c>
      <c r="BO843">
        <v>0</v>
      </c>
      <c r="BP843">
        <v>0</v>
      </c>
    </row>
    <row r="844" spans="64:68" x14ac:dyDescent="0.3">
      <c r="BL844">
        <v>26</v>
      </c>
      <c r="BM844">
        <v>1</v>
      </c>
      <c r="BN844">
        <v>1</v>
      </c>
      <c r="BO844">
        <v>0</v>
      </c>
      <c r="BP844">
        <v>1</v>
      </c>
    </row>
    <row r="845" spans="64:68" x14ac:dyDescent="0.3">
      <c r="BL845">
        <v>36</v>
      </c>
      <c r="BM845">
        <v>0</v>
      </c>
      <c r="BN845">
        <v>0</v>
      </c>
      <c r="BO845">
        <v>0</v>
      </c>
      <c r="BP845">
        <v>0</v>
      </c>
    </row>
    <row r="846" spans="64:68" x14ac:dyDescent="0.3">
      <c r="BL846">
        <v>45</v>
      </c>
      <c r="BM846">
        <v>1</v>
      </c>
      <c r="BN846">
        <v>1</v>
      </c>
      <c r="BO846">
        <v>0</v>
      </c>
      <c r="BP846">
        <v>1</v>
      </c>
    </row>
    <row r="847" spans="64:68" x14ac:dyDescent="0.3">
      <c r="BL847">
        <v>24</v>
      </c>
      <c r="BM847">
        <v>0</v>
      </c>
      <c r="BN847">
        <v>0</v>
      </c>
      <c r="BO847">
        <v>0</v>
      </c>
      <c r="BP847">
        <v>0</v>
      </c>
    </row>
    <row r="848" spans="64:68" x14ac:dyDescent="0.3">
      <c r="BL848">
        <v>15</v>
      </c>
      <c r="BM848">
        <v>0</v>
      </c>
      <c r="BN848">
        <v>0</v>
      </c>
      <c r="BO848">
        <v>1</v>
      </c>
      <c r="BP848">
        <v>0</v>
      </c>
    </row>
    <row r="849" spans="64:68" x14ac:dyDescent="0.3">
      <c r="BL849">
        <v>32</v>
      </c>
      <c r="BM849">
        <v>1</v>
      </c>
      <c r="BN849">
        <v>1</v>
      </c>
      <c r="BO849">
        <v>0</v>
      </c>
      <c r="BP849">
        <v>1</v>
      </c>
    </row>
    <row r="850" spans="64:68" x14ac:dyDescent="0.3">
      <c r="BL850">
        <v>28</v>
      </c>
      <c r="BM850">
        <v>1</v>
      </c>
      <c r="BN850">
        <v>1</v>
      </c>
      <c r="BO850">
        <v>0</v>
      </c>
      <c r="BP850">
        <v>1</v>
      </c>
    </row>
    <row r="851" spans="64:68" x14ac:dyDescent="0.3">
      <c r="BL851">
        <v>53</v>
      </c>
      <c r="BM851">
        <v>1</v>
      </c>
      <c r="BN851">
        <v>1</v>
      </c>
      <c r="BO851">
        <v>1</v>
      </c>
      <c r="BP851">
        <v>1</v>
      </c>
    </row>
    <row r="852" spans="64:68" x14ac:dyDescent="0.3">
      <c r="BL852">
        <v>58</v>
      </c>
      <c r="BM852">
        <v>1</v>
      </c>
      <c r="BN852">
        <v>1</v>
      </c>
      <c r="BO852">
        <v>0</v>
      </c>
      <c r="BP852">
        <v>1</v>
      </c>
    </row>
    <row r="853" spans="64:68" x14ac:dyDescent="0.3">
      <c r="BL853">
        <v>8</v>
      </c>
      <c r="BM853">
        <v>0</v>
      </c>
      <c r="BN853">
        <v>0</v>
      </c>
      <c r="BO853">
        <v>1</v>
      </c>
      <c r="BP853">
        <v>0</v>
      </c>
    </row>
    <row r="854" spans="64:68" x14ac:dyDescent="0.3">
      <c r="BL854">
        <v>35</v>
      </c>
      <c r="BM854">
        <v>0</v>
      </c>
      <c r="BN854">
        <v>0</v>
      </c>
      <c r="BO854">
        <v>1</v>
      </c>
      <c r="BP854">
        <v>0</v>
      </c>
    </row>
    <row r="855" spans="64:68" x14ac:dyDescent="0.3">
      <c r="BL855">
        <v>44</v>
      </c>
      <c r="BM855">
        <v>1</v>
      </c>
      <c r="BN855">
        <v>1</v>
      </c>
      <c r="BO855">
        <v>1</v>
      </c>
      <c r="BP855">
        <v>1</v>
      </c>
    </row>
    <row r="856" spans="64:68" x14ac:dyDescent="0.3">
      <c r="BL856">
        <v>30</v>
      </c>
      <c r="BM856">
        <v>1</v>
      </c>
      <c r="BN856">
        <v>1</v>
      </c>
      <c r="BO856">
        <v>1</v>
      </c>
      <c r="BP856">
        <v>1</v>
      </c>
    </row>
    <row r="857" spans="64:68" x14ac:dyDescent="0.3">
      <c r="BL857">
        <v>16</v>
      </c>
      <c r="BM857">
        <v>0</v>
      </c>
      <c r="BN857">
        <v>0</v>
      </c>
      <c r="BO857">
        <v>1</v>
      </c>
      <c r="BP857">
        <v>0</v>
      </c>
    </row>
    <row r="858" spans="64:68" x14ac:dyDescent="0.3">
      <c r="BL858">
        <v>54</v>
      </c>
      <c r="BM858">
        <v>1</v>
      </c>
      <c r="BN858">
        <v>1</v>
      </c>
      <c r="BO858">
        <v>1</v>
      </c>
      <c r="BP858">
        <v>1</v>
      </c>
    </row>
    <row r="859" spans="64:68" x14ac:dyDescent="0.3">
      <c r="BL859">
        <v>54</v>
      </c>
      <c r="BM859">
        <v>1</v>
      </c>
      <c r="BN859">
        <v>1</v>
      </c>
      <c r="BO859">
        <v>1</v>
      </c>
      <c r="BP859">
        <v>1</v>
      </c>
    </row>
    <row r="860" spans="64:68" x14ac:dyDescent="0.3">
      <c r="BL860">
        <v>18</v>
      </c>
      <c r="BM860">
        <v>1</v>
      </c>
      <c r="BN860">
        <v>1</v>
      </c>
      <c r="BO860">
        <v>1</v>
      </c>
      <c r="BP860">
        <v>1</v>
      </c>
    </row>
    <row r="861" spans="64:68" x14ac:dyDescent="0.3">
      <c r="BL861">
        <v>19</v>
      </c>
      <c r="BM861">
        <v>1</v>
      </c>
      <c r="BN861">
        <v>1</v>
      </c>
      <c r="BO861">
        <v>1</v>
      </c>
      <c r="BP861">
        <v>1</v>
      </c>
    </row>
    <row r="862" spans="64:68" x14ac:dyDescent="0.3">
      <c r="BL862">
        <v>47</v>
      </c>
      <c r="BM862">
        <v>0</v>
      </c>
      <c r="BN862">
        <v>0</v>
      </c>
      <c r="BO862">
        <v>1</v>
      </c>
      <c r="BP862">
        <v>0</v>
      </c>
    </row>
    <row r="863" spans="64:68" x14ac:dyDescent="0.3">
      <c r="BL863">
        <v>38</v>
      </c>
      <c r="BM863">
        <v>0</v>
      </c>
      <c r="BN863">
        <v>0</v>
      </c>
      <c r="BO863">
        <v>1</v>
      </c>
      <c r="BP863">
        <v>0</v>
      </c>
    </row>
    <row r="864" spans="64:68" x14ac:dyDescent="0.3">
      <c r="BL864">
        <v>20</v>
      </c>
      <c r="BM864">
        <v>0</v>
      </c>
      <c r="BN864">
        <v>0</v>
      </c>
      <c r="BO864">
        <v>0</v>
      </c>
      <c r="BP864">
        <v>0</v>
      </c>
    </row>
    <row r="865" spans="64:68" x14ac:dyDescent="0.3">
      <c r="BL865">
        <v>65</v>
      </c>
      <c r="BM865">
        <v>1</v>
      </c>
      <c r="BN865">
        <v>1</v>
      </c>
      <c r="BO865">
        <v>0</v>
      </c>
      <c r="BP865">
        <v>1</v>
      </c>
    </row>
    <row r="866" spans="64:68" x14ac:dyDescent="0.3">
      <c r="BL866">
        <v>29</v>
      </c>
      <c r="BM866">
        <v>1</v>
      </c>
      <c r="BN866">
        <v>1</v>
      </c>
      <c r="BO866">
        <v>0</v>
      </c>
      <c r="BP866">
        <v>1</v>
      </c>
    </row>
    <row r="867" spans="64:68" x14ac:dyDescent="0.3">
      <c r="BL867">
        <v>8</v>
      </c>
      <c r="BM867">
        <v>0</v>
      </c>
      <c r="BN867">
        <v>0</v>
      </c>
      <c r="BO867">
        <v>0</v>
      </c>
      <c r="BP867">
        <v>0</v>
      </c>
    </row>
    <row r="868" spans="64:68" x14ac:dyDescent="0.3">
      <c r="BL868">
        <v>45</v>
      </c>
      <c r="BM868">
        <v>1</v>
      </c>
      <c r="BN868">
        <v>1</v>
      </c>
      <c r="BO868">
        <v>1</v>
      </c>
      <c r="BP868">
        <v>1</v>
      </c>
    </row>
    <row r="869" spans="64:68" x14ac:dyDescent="0.3">
      <c r="BL869">
        <v>9</v>
      </c>
      <c r="BM869">
        <v>1</v>
      </c>
      <c r="BN869">
        <v>1</v>
      </c>
      <c r="BO869">
        <v>0</v>
      </c>
      <c r="BP869">
        <v>1</v>
      </c>
    </row>
    <row r="870" spans="64:68" x14ac:dyDescent="0.3">
      <c r="BL870">
        <v>27</v>
      </c>
      <c r="BM870">
        <v>0</v>
      </c>
      <c r="BN870">
        <v>0</v>
      </c>
      <c r="BO870">
        <v>0</v>
      </c>
      <c r="BP870">
        <v>0</v>
      </c>
    </row>
    <row r="871" spans="64:68" x14ac:dyDescent="0.3">
      <c r="BL871">
        <v>59</v>
      </c>
      <c r="BM871">
        <v>1</v>
      </c>
      <c r="BN871">
        <v>1</v>
      </c>
      <c r="BO871">
        <v>1</v>
      </c>
      <c r="BP871">
        <v>1</v>
      </c>
    </row>
    <row r="872" spans="64:68" x14ac:dyDescent="0.3">
      <c r="BL872">
        <v>16</v>
      </c>
      <c r="BM872">
        <v>1</v>
      </c>
      <c r="BN872">
        <v>1</v>
      </c>
      <c r="BO872">
        <v>0</v>
      </c>
      <c r="BP872">
        <v>1</v>
      </c>
    </row>
    <row r="873" spans="64:68" x14ac:dyDescent="0.3">
      <c r="BL873">
        <v>8</v>
      </c>
      <c r="BM873">
        <v>0</v>
      </c>
      <c r="BN873">
        <v>0</v>
      </c>
      <c r="BO873">
        <v>0</v>
      </c>
      <c r="BP873">
        <v>0</v>
      </c>
    </row>
    <row r="874" spans="64:68" x14ac:dyDescent="0.3">
      <c r="BL874">
        <v>36</v>
      </c>
      <c r="BM874">
        <v>1</v>
      </c>
      <c r="BN874">
        <v>1</v>
      </c>
      <c r="BO874">
        <v>0</v>
      </c>
      <c r="BP874">
        <v>1</v>
      </c>
    </row>
    <row r="875" spans="64:68" x14ac:dyDescent="0.3">
      <c r="BL875">
        <v>38</v>
      </c>
      <c r="BM875">
        <v>0</v>
      </c>
      <c r="BN875">
        <v>0</v>
      </c>
      <c r="BO875">
        <v>1</v>
      </c>
      <c r="BP875">
        <v>0</v>
      </c>
    </row>
    <row r="876" spans="64:68" x14ac:dyDescent="0.3">
      <c r="BL876">
        <v>56</v>
      </c>
      <c r="BM876">
        <v>1</v>
      </c>
      <c r="BN876">
        <v>1</v>
      </c>
      <c r="BO876">
        <v>1</v>
      </c>
      <c r="BP876">
        <v>1</v>
      </c>
    </row>
    <row r="877" spans="64:68" x14ac:dyDescent="0.3">
      <c r="BL877">
        <v>35</v>
      </c>
      <c r="BM877">
        <v>1</v>
      </c>
      <c r="BN877">
        <v>1</v>
      </c>
      <c r="BO877">
        <v>0</v>
      </c>
      <c r="BP877">
        <v>1</v>
      </c>
    </row>
    <row r="878" spans="64:68" x14ac:dyDescent="0.3">
      <c r="BL878">
        <v>18</v>
      </c>
      <c r="BM878">
        <v>1</v>
      </c>
      <c r="BN878">
        <v>1</v>
      </c>
      <c r="BO878">
        <v>0</v>
      </c>
      <c r="BP878">
        <v>1</v>
      </c>
    </row>
    <row r="879" spans="64:68" x14ac:dyDescent="0.3">
      <c r="BL879">
        <v>13</v>
      </c>
      <c r="BM879">
        <v>1</v>
      </c>
      <c r="BN879">
        <v>1</v>
      </c>
      <c r="BO879">
        <v>0</v>
      </c>
      <c r="BP879">
        <v>1</v>
      </c>
    </row>
    <row r="880" spans="64:68" x14ac:dyDescent="0.3">
      <c r="BL880">
        <v>23</v>
      </c>
      <c r="BM880">
        <v>0</v>
      </c>
      <c r="BN880">
        <v>1</v>
      </c>
      <c r="BO880">
        <v>0</v>
      </c>
      <c r="BP880">
        <v>1</v>
      </c>
    </row>
    <row r="881" spans="64:68" x14ac:dyDescent="0.3">
      <c r="BL881">
        <v>14</v>
      </c>
      <c r="BM881">
        <v>1</v>
      </c>
      <c r="BN881">
        <v>1</v>
      </c>
      <c r="BO881">
        <v>1</v>
      </c>
      <c r="BP881">
        <v>1</v>
      </c>
    </row>
    <row r="882" spans="64:68" x14ac:dyDescent="0.3">
      <c r="BL882">
        <v>21</v>
      </c>
      <c r="BM882">
        <v>1</v>
      </c>
      <c r="BN882">
        <v>1</v>
      </c>
      <c r="BO882">
        <v>0</v>
      </c>
      <c r="BP882">
        <v>1</v>
      </c>
    </row>
    <row r="883" spans="64:68" x14ac:dyDescent="0.3">
      <c r="BL883">
        <v>39</v>
      </c>
      <c r="BM883">
        <v>1</v>
      </c>
      <c r="BN883">
        <v>1</v>
      </c>
      <c r="BO883">
        <v>1</v>
      </c>
      <c r="BP883">
        <v>1</v>
      </c>
    </row>
    <row r="884" spans="64:68" x14ac:dyDescent="0.3">
      <c r="BL884">
        <v>39</v>
      </c>
      <c r="BM884">
        <v>1</v>
      </c>
      <c r="BN884">
        <v>1</v>
      </c>
      <c r="BO884">
        <v>1</v>
      </c>
      <c r="BP884">
        <v>1</v>
      </c>
    </row>
    <row r="885" spans="64:68" x14ac:dyDescent="0.3">
      <c r="BL885">
        <v>34</v>
      </c>
      <c r="BM885">
        <v>0</v>
      </c>
      <c r="BN885">
        <v>0</v>
      </c>
      <c r="BO885">
        <v>0</v>
      </c>
      <c r="BP885">
        <v>0</v>
      </c>
    </row>
    <row r="886" spans="64:68" x14ac:dyDescent="0.3">
      <c r="BL886">
        <v>36</v>
      </c>
      <c r="BM886">
        <v>1</v>
      </c>
      <c r="BN886">
        <v>1</v>
      </c>
      <c r="BO886">
        <v>1</v>
      </c>
      <c r="BP886">
        <v>1</v>
      </c>
    </row>
    <row r="887" spans="64:68" x14ac:dyDescent="0.3">
      <c r="BL887">
        <v>43</v>
      </c>
      <c r="BM887">
        <v>0</v>
      </c>
      <c r="BN887">
        <v>1</v>
      </c>
      <c r="BO887">
        <v>0</v>
      </c>
      <c r="BP887">
        <v>1</v>
      </c>
    </row>
    <row r="888" spans="64:68" x14ac:dyDescent="0.3">
      <c r="BL888">
        <v>39</v>
      </c>
      <c r="BM888">
        <v>1</v>
      </c>
      <c r="BN888">
        <v>1</v>
      </c>
      <c r="BO888">
        <v>1</v>
      </c>
      <c r="BP888">
        <v>1</v>
      </c>
    </row>
    <row r="889" spans="64:68" x14ac:dyDescent="0.3">
      <c r="BL889">
        <v>53</v>
      </c>
      <c r="BM889">
        <v>1</v>
      </c>
      <c r="BN889">
        <v>1</v>
      </c>
      <c r="BO889">
        <v>1</v>
      </c>
      <c r="BP889">
        <v>1</v>
      </c>
    </row>
    <row r="890" spans="64:68" x14ac:dyDescent="0.3">
      <c r="BL890">
        <v>45</v>
      </c>
      <c r="BM890">
        <v>1</v>
      </c>
      <c r="BN890">
        <v>1</v>
      </c>
      <c r="BO890">
        <v>1</v>
      </c>
      <c r="BP890">
        <v>1</v>
      </c>
    </row>
    <row r="891" spans="64:68" x14ac:dyDescent="0.3">
      <c r="BL891">
        <v>12</v>
      </c>
      <c r="BM891">
        <v>0</v>
      </c>
      <c r="BN891">
        <v>0</v>
      </c>
      <c r="BO891">
        <v>1</v>
      </c>
      <c r="BP891">
        <v>0</v>
      </c>
    </row>
    <row r="892" spans="64:68" x14ac:dyDescent="0.3">
      <c r="BL892">
        <v>28</v>
      </c>
      <c r="BM892">
        <v>1</v>
      </c>
      <c r="BN892">
        <v>1</v>
      </c>
      <c r="BO892">
        <v>0</v>
      </c>
      <c r="BP892">
        <v>1</v>
      </c>
    </row>
    <row r="893" spans="64:68" x14ac:dyDescent="0.3">
      <c r="BL893">
        <v>14</v>
      </c>
      <c r="BM893">
        <v>1</v>
      </c>
      <c r="BN893">
        <v>1</v>
      </c>
      <c r="BO893">
        <v>0</v>
      </c>
      <c r="BP893">
        <v>1</v>
      </c>
    </row>
    <row r="894" spans="64:68" x14ac:dyDescent="0.3">
      <c r="BL894">
        <v>10</v>
      </c>
      <c r="BM894">
        <v>0</v>
      </c>
      <c r="BN894">
        <v>0</v>
      </c>
      <c r="BO894">
        <v>0</v>
      </c>
      <c r="BP894">
        <v>0</v>
      </c>
    </row>
    <row r="895" spans="64:68" x14ac:dyDescent="0.3">
      <c r="BL895">
        <v>64</v>
      </c>
      <c r="BM895">
        <v>1</v>
      </c>
      <c r="BN895">
        <v>1</v>
      </c>
      <c r="BO895">
        <v>0</v>
      </c>
      <c r="BP895">
        <v>1</v>
      </c>
    </row>
    <row r="896" spans="64:68" x14ac:dyDescent="0.3">
      <c r="BL896">
        <v>8</v>
      </c>
      <c r="BM896">
        <v>1</v>
      </c>
      <c r="BN896">
        <v>1</v>
      </c>
      <c r="BO896">
        <v>0</v>
      </c>
      <c r="BP896">
        <v>1</v>
      </c>
    </row>
    <row r="897" spans="64:68" x14ac:dyDescent="0.3">
      <c r="BL897">
        <v>43</v>
      </c>
      <c r="BM897">
        <v>0</v>
      </c>
      <c r="BN897">
        <v>0</v>
      </c>
      <c r="BO897">
        <v>1</v>
      </c>
      <c r="BP897">
        <v>0</v>
      </c>
    </row>
    <row r="898" spans="64:68" x14ac:dyDescent="0.3">
      <c r="BL898">
        <v>16</v>
      </c>
      <c r="BM898">
        <v>0</v>
      </c>
      <c r="BN898">
        <v>0</v>
      </c>
      <c r="BO898">
        <v>0</v>
      </c>
      <c r="BP898">
        <v>0</v>
      </c>
    </row>
    <row r="899" spans="64:68" x14ac:dyDescent="0.3">
      <c r="BL899">
        <v>62</v>
      </c>
      <c r="BM899">
        <v>1</v>
      </c>
      <c r="BN899">
        <v>1</v>
      </c>
      <c r="BO899">
        <v>1</v>
      </c>
      <c r="BP899">
        <v>1</v>
      </c>
    </row>
    <row r="900" spans="64:68" x14ac:dyDescent="0.3">
      <c r="BL900">
        <v>35</v>
      </c>
      <c r="BM900">
        <v>0</v>
      </c>
      <c r="BN900">
        <v>0</v>
      </c>
      <c r="BO900">
        <v>0</v>
      </c>
      <c r="BP900">
        <v>0</v>
      </c>
    </row>
    <row r="901" spans="64:68" x14ac:dyDescent="0.3">
      <c r="BL901">
        <v>36</v>
      </c>
      <c r="BM901">
        <v>0</v>
      </c>
      <c r="BN901">
        <v>0</v>
      </c>
      <c r="BO901">
        <v>0</v>
      </c>
      <c r="BP901">
        <v>0</v>
      </c>
    </row>
    <row r="902" spans="64:68" x14ac:dyDescent="0.3">
      <c r="BL902">
        <v>15</v>
      </c>
      <c r="BM902">
        <v>1</v>
      </c>
      <c r="BN902">
        <v>1</v>
      </c>
      <c r="BO902">
        <v>0</v>
      </c>
      <c r="BP902">
        <v>1</v>
      </c>
    </row>
    <row r="903" spans="64:68" x14ac:dyDescent="0.3">
      <c r="BL903">
        <v>11</v>
      </c>
      <c r="BM903">
        <v>1</v>
      </c>
      <c r="BN903">
        <v>1</v>
      </c>
      <c r="BO903">
        <v>0</v>
      </c>
      <c r="BP903">
        <v>1</v>
      </c>
    </row>
    <row r="904" spans="64:68" x14ac:dyDescent="0.3">
      <c r="BL904">
        <v>27</v>
      </c>
      <c r="BM904">
        <v>1</v>
      </c>
      <c r="BN904">
        <v>1</v>
      </c>
      <c r="BO904">
        <v>0</v>
      </c>
      <c r="BP904">
        <v>1</v>
      </c>
    </row>
    <row r="905" spans="64:68" x14ac:dyDescent="0.3">
      <c r="BL905">
        <v>20</v>
      </c>
      <c r="BM905">
        <v>0</v>
      </c>
      <c r="BN905">
        <v>0</v>
      </c>
      <c r="BO905">
        <v>0</v>
      </c>
      <c r="BP905">
        <v>0</v>
      </c>
    </row>
    <row r="906" spans="64:68" x14ac:dyDescent="0.3">
      <c r="BL906">
        <v>28</v>
      </c>
      <c r="BM906">
        <v>1</v>
      </c>
      <c r="BN906">
        <v>1</v>
      </c>
      <c r="BO906">
        <v>0</v>
      </c>
      <c r="BP906">
        <v>1</v>
      </c>
    </row>
    <row r="907" spans="64:68" x14ac:dyDescent="0.3">
      <c r="BL907">
        <v>60</v>
      </c>
      <c r="BM907">
        <v>1</v>
      </c>
      <c r="BN907">
        <v>1</v>
      </c>
      <c r="BO907">
        <v>0</v>
      </c>
      <c r="BP907">
        <v>1</v>
      </c>
    </row>
    <row r="908" spans="64:68" x14ac:dyDescent="0.3">
      <c r="BL908">
        <v>10</v>
      </c>
      <c r="BM908">
        <v>1</v>
      </c>
      <c r="BN908">
        <v>1</v>
      </c>
      <c r="BO908">
        <v>1</v>
      </c>
      <c r="BP908">
        <v>1</v>
      </c>
    </row>
    <row r="909" spans="64:68" x14ac:dyDescent="0.3">
      <c r="BL909">
        <v>39</v>
      </c>
      <c r="BM909">
        <v>0</v>
      </c>
      <c r="BN909">
        <v>0</v>
      </c>
      <c r="BO909">
        <v>1</v>
      </c>
      <c r="BP909">
        <v>0</v>
      </c>
    </row>
    <row r="910" spans="64:68" x14ac:dyDescent="0.3">
      <c r="BL910">
        <v>52</v>
      </c>
      <c r="BM910">
        <v>0</v>
      </c>
      <c r="BN910">
        <v>0</v>
      </c>
      <c r="BO910">
        <v>1</v>
      </c>
      <c r="BP910">
        <v>0</v>
      </c>
    </row>
    <row r="911" spans="64:68" x14ac:dyDescent="0.3">
      <c r="BL911">
        <v>36</v>
      </c>
      <c r="BM911">
        <v>1</v>
      </c>
      <c r="BN911">
        <v>1</v>
      </c>
      <c r="BO911">
        <v>0</v>
      </c>
      <c r="BP911">
        <v>1</v>
      </c>
    </row>
    <row r="912" spans="64:68" x14ac:dyDescent="0.3">
      <c r="BL912">
        <v>39</v>
      </c>
      <c r="BM912">
        <v>0</v>
      </c>
      <c r="BN912">
        <v>0</v>
      </c>
      <c r="BO912">
        <v>0</v>
      </c>
      <c r="BP912">
        <v>0</v>
      </c>
    </row>
    <row r="913" spans="64:68" x14ac:dyDescent="0.3">
      <c r="BL913">
        <v>13</v>
      </c>
      <c r="BM913">
        <v>0</v>
      </c>
      <c r="BN913">
        <v>0</v>
      </c>
      <c r="BO913">
        <v>1</v>
      </c>
      <c r="BP913">
        <v>0</v>
      </c>
    </row>
    <row r="914" spans="64:68" x14ac:dyDescent="0.3">
      <c r="BL914">
        <v>42</v>
      </c>
      <c r="BM914">
        <v>0</v>
      </c>
      <c r="BN914">
        <v>0</v>
      </c>
      <c r="BO914">
        <v>0</v>
      </c>
      <c r="BP914">
        <v>0</v>
      </c>
    </row>
    <row r="915" spans="64:68" x14ac:dyDescent="0.3">
      <c r="BL915">
        <v>30</v>
      </c>
      <c r="BM915">
        <v>1</v>
      </c>
      <c r="BN915">
        <v>1</v>
      </c>
      <c r="BO915">
        <v>1</v>
      </c>
      <c r="BP915">
        <v>1</v>
      </c>
    </row>
    <row r="916" spans="64:68" x14ac:dyDescent="0.3">
      <c r="BL916">
        <v>33</v>
      </c>
      <c r="BM916">
        <v>0</v>
      </c>
      <c r="BN916">
        <v>0</v>
      </c>
      <c r="BO916">
        <v>0</v>
      </c>
      <c r="BP916">
        <v>0</v>
      </c>
    </row>
    <row r="917" spans="64:68" x14ac:dyDescent="0.3">
      <c r="BL917">
        <v>61</v>
      </c>
      <c r="BM917">
        <v>1</v>
      </c>
      <c r="BN917">
        <v>1</v>
      </c>
      <c r="BO917">
        <v>1</v>
      </c>
      <c r="BP917">
        <v>1</v>
      </c>
    </row>
    <row r="918" spans="64:68" x14ac:dyDescent="0.3">
      <c r="BL918">
        <v>47</v>
      </c>
      <c r="BM918">
        <v>1</v>
      </c>
      <c r="BN918">
        <v>1</v>
      </c>
      <c r="BO918">
        <v>1</v>
      </c>
      <c r="BP918">
        <v>1</v>
      </c>
    </row>
    <row r="919" spans="64:68" x14ac:dyDescent="0.3">
      <c r="BL919">
        <v>52</v>
      </c>
      <c r="BM919">
        <v>0</v>
      </c>
      <c r="BN919">
        <v>0</v>
      </c>
      <c r="BO919">
        <v>1</v>
      </c>
      <c r="BP919">
        <v>0</v>
      </c>
    </row>
    <row r="920" spans="64:68" x14ac:dyDescent="0.3">
      <c r="BL920">
        <v>29</v>
      </c>
      <c r="BM920">
        <v>0</v>
      </c>
      <c r="BN920">
        <v>0</v>
      </c>
      <c r="BO920">
        <v>0</v>
      </c>
      <c r="BP920">
        <v>0</v>
      </c>
    </row>
    <row r="921" spans="64:68" x14ac:dyDescent="0.3">
      <c r="BL921">
        <v>50</v>
      </c>
      <c r="BM921">
        <v>1</v>
      </c>
      <c r="BN921">
        <v>1</v>
      </c>
      <c r="BO921">
        <v>1</v>
      </c>
      <c r="BP921">
        <v>1</v>
      </c>
    </row>
    <row r="922" spans="64:68" x14ac:dyDescent="0.3">
      <c r="BL922">
        <v>56</v>
      </c>
      <c r="BM922">
        <v>1</v>
      </c>
      <c r="BN922">
        <v>1</v>
      </c>
      <c r="BO922">
        <v>0</v>
      </c>
      <c r="BP922">
        <v>1</v>
      </c>
    </row>
    <row r="923" spans="64:68" x14ac:dyDescent="0.3">
      <c r="BL923">
        <v>55</v>
      </c>
      <c r="BM923">
        <v>1</v>
      </c>
      <c r="BN923">
        <v>1</v>
      </c>
      <c r="BO923">
        <v>0</v>
      </c>
      <c r="BP923">
        <v>1</v>
      </c>
    </row>
    <row r="924" spans="64:68" x14ac:dyDescent="0.3">
      <c r="BL924">
        <v>44</v>
      </c>
      <c r="BM924">
        <v>1</v>
      </c>
      <c r="BN924">
        <v>1</v>
      </c>
      <c r="BO924">
        <v>1</v>
      </c>
      <c r="BP924">
        <v>1</v>
      </c>
    </row>
    <row r="925" spans="64:68" x14ac:dyDescent="0.3">
      <c r="BL925">
        <v>37</v>
      </c>
      <c r="BM925">
        <v>0</v>
      </c>
      <c r="BN925">
        <v>0</v>
      </c>
      <c r="BO925">
        <v>0</v>
      </c>
      <c r="BP925">
        <v>0</v>
      </c>
    </row>
    <row r="926" spans="64:68" x14ac:dyDescent="0.3">
      <c r="BL926">
        <v>42</v>
      </c>
      <c r="BM926">
        <v>0</v>
      </c>
      <c r="BN926">
        <v>0</v>
      </c>
      <c r="BO926">
        <v>1</v>
      </c>
      <c r="BP926">
        <v>0</v>
      </c>
    </row>
    <row r="927" spans="64:68" x14ac:dyDescent="0.3">
      <c r="BL927">
        <v>8</v>
      </c>
      <c r="BM927">
        <v>0</v>
      </c>
      <c r="BN927">
        <v>0</v>
      </c>
      <c r="BO927">
        <v>1</v>
      </c>
      <c r="BP927">
        <v>0</v>
      </c>
    </row>
    <row r="928" spans="64:68" x14ac:dyDescent="0.3">
      <c r="BL928">
        <v>40</v>
      </c>
      <c r="BM928">
        <v>0</v>
      </c>
      <c r="BN928">
        <v>0</v>
      </c>
      <c r="BO928">
        <v>0</v>
      </c>
      <c r="BP928">
        <v>0</v>
      </c>
    </row>
    <row r="929" spans="64:68" x14ac:dyDescent="0.3">
      <c r="BL929">
        <v>56</v>
      </c>
      <c r="BM929">
        <v>0</v>
      </c>
      <c r="BN929">
        <v>0</v>
      </c>
      <c r="BO929">
        <v>1</v>
      </c>
      <c r="BP929">
        <v>0</v>
      </c>
    </row>
    <row r="930" spans="64:68" x14ac:dyDescent="0.3">
      <c r="BL930">
        <v>60</v>
      </c>
      <c r="BM930">
        <v>0</v>
      </c>
      <c r="BN930">
        <v>0</v>
      </c>
      <c r="BO930">
        <v>1</v>
      </c>
      <c r="BP930">
        <v>0</v>
      </c>
    </row>
    <row r="931" spans="64:68" x14ac:dyDescent="0.3">
      <c r="BL931">
        <v>26</v>
      </c>
      <c r="BM931">
        <v>0</v>
      </c>
      <c r="BN931">
        <v>0</v>
      </c>
      <c r="BO931">
        <v>0</v>
      </c>
      <c r="BP931">
        <v>0</v>
      </c>
    </row>
    <row r="932" spans="64:68" x14ac:dyDescent="0.3">
      <c r="BL932">
        <v>65</v>
      </c>
      <c r="BM932">
        <v>1</v>
      </c>
      <c r="BN932">
        <v>1</v>
      </c>
      <c r="BO932">
        <v>0</v>
      </c>
      <c r="BP932">
        <v>1</v>
      </c>
    </row>
    <row r="933" spans="64:68" x14ac:dyDescent="0.3">
      <c r="BL933">
        <v>33</v>
      </c>
      <c r="BM933">
        <v>1</v>
      </c>
      <c r="BN933">
        <v>1</v>
      </c>
      <c r="BO933">
        <v>1</v>
      </c>
      <c r="BP933">
        <v>1</v>
      </c>
    </row>
    <row r="934" spans="64:68" x14ac:dyDescent="0.3">
      <c r="BL934">
        <v>20</v>
      </c>
      <c r="BM934">
        <v>0</v>
      </c>
      <c r="BN934">
        <v>0</v>
      </c>
      <c r="BO934">
        <v>0</v>
      </c>
      <c r="BP934">
        <v>0</v>
      </c>
    </row>
    <row r="935" spans="64:68" x14ac:dyDescent="0.3">
      <c r="BL935">
        <v>20</v>
      </c>
      <c r="BM935">
        <v>0</v>
      </c>
      <c r="BN935">
        <v>0</v>
      </c>
      <c r="BO935">
        <v>0</v>
      </c>
      <c r="BP935">
        <v>0</v>
      </c>
    </row>
    <row r="936" spans="64:68" x14ac:dyDescent="0.3">
      <c r="BL936">
        <v>54</v>
      </c>
      <c r="BM936">
        <v>1</v>
      </c>
      <c r="BN936">
        <v>1</v>
      </c>
      <c r="BO936">
        <v>0</v>
      </c>
      <c r="BP936">
        <v>1</v>
      </c>
    </row>
    <row r="937" spans="64:68" x14ac:dyDescent="0.3">
      <c r="BL937">
        <v>22</v>
      </c>
      <c r="BM937">
        <v>1</v>
      </c>
      <c r="BN937">
        <v>1</v>
      </c>
      <c r="BO937">
        <v>1</v>
      </c>
      <c r="BP937">
        <v>1</v>
      </c>
    </row>
    <row r="938" spans="64:68" x14ac:dyDescent="0.3">
      <c r="BL938">
        <v>16</v>
      </c>
      <c r="BM938">
        <v>0</v>
      </c>
      <c r="BN938">
        <v>0</v>
      </c>
      <c r="BO938">
        <v>0</v>
      </c>
      <c r="BP938">
        <v>0</v>
      </c>
    </row>
    <row r="939" spans="64:68" x14ac:dyDescent="0.3">
      <c r="BL939">
        <v>37</v>
      </c>
      <c r="BM939">
        <v>0</v>
      </c>
      <c r="BN939">
        <v>0</v>
      </c>
      <c r="BO939">
        <v>0</v>
      </c>
      <c r="BP939">
        <v>0</v>
      </c>
    </row>
    <row r="940" spans="64:68" x14ac:dyDescent="0.3">
      <c r="BL940">
        <v>26</v>
      </c>
      <c r="BM940">
        <v>0</v>
      </c>
      <c r="BN940">
        <v>0</v>
      </c>
      <c r="BO940">
        <v>1</v>
      </c>
      <c r="BP940">
        <v>0</v>
      </c>
    </row>
    <row r="941" spans="64:68" x14ac:dyDescent="0.3">
      <c r="BL941">
        <v>27</v>
      </c>
      <c r="BM941">
        <v>0</v>
      </c>
      <c r="BN941">
        <v>0</v>
      </c>
      <c r="BO941">
        <v>0</v>
      </c>
      <c r="BP941">
        <v>0</v>
      </c>
    </row>
    <row r="942" spans="64:68" x14ac:dyDescent="0.3">
      <c r="BL942">
        <v>10</v>
      </c>
      <c r="BM942">
        <v>0</v>
      </c>
      <c r="BN942">
        <v>0</v>
      </c>
      <c r="BO942">
        <v>0</v>
      </c>
      <c r="BP942">
        <v>0</v>
      </c>
    </row>
    <row r="943" spans="64:68" x14ac:dyDescent="0.3">
      <c r="BL943">
        <v>15</v>
      </c>
      <c r="BM943">
        <v>0</v>
      </c>
      <c r="BN943">
        <v>0</v>
      </c>
      <c r="BO943">
        <v>0</v>
      </c>
      <c r="BP943">
        <v>0</v>
      </c>
    </row>
    <row r="944" spans="64:68" x14ac:dyDescent="0.3">
      <c r="BL944">
        <v>17</v>
      </c>
      <c r="BM944">
        <v>0</v>
      </c>
      <c r="BN944">
        <v>0</v>
      </c>
      <c r="BO944">
        <v>0</v>
      </c>
      <c r="BP944">
        <v>0</v>
      </c>
    </row>
    <row r="945" spans="64:68" x14ac:dyDescent="0.3">
      <c r="BL945">
        <v>61</v>
      </c>
      <c r="BM945">
        <v>1</v>
      </c>
      <c r="BN945">
        <v>1</v>
      </c>
      <c r="BO945">
        <v>1</v>
      </c>
      <c r="BP945">
        <v>1</v>
      </c>
    </row>
    <row r="946" spans="64:68" x14ac:dyDescent="0.3">
      <c r="BL946">
        <v>35</v>
      </c>
      <c r="BM946">
        <v>1</v>
      </c>
      <c r="BN946">
        <v>1</v>
      </c>
      <c r="BO946">
        <v>1</v>
      </c>
      <c r="BP946">
        <v>1</v>
      </c>
    </row>
    <row r="947" spans="64:68" x14ac:dyDescent="0.3">
      <c r="BL947">
        <v>55</v>
      </c>
      <c r="BM947">
        <v>1</v>
      </c>
      <c r="BN947">
        <v>1</v>
      </c>
      <c r="BO947">
        <v>1</v>
      </c>
      <c r="BP947">
        <v>1</v>
      </c>
    </row>
    <row r="948" spans="64:68" x14ac:dyDescent="0.3">
      <c r="BL948">
        <v>16</v>
      </c>
      <c r="BM948">
        <v>1</v>
      </c>
      <c r="BN948">
        <v>1</v>
      </c>
      <c r="BO948">
        <v>1</v>
      </c>
      <c r="BP948">
        <v>1</v>
      </c>
    </row>
    <row r="949" spans="64:68" x14ac:dyDescent="0.3">
      <c r="BL949">
        <v>52</v>
      </c>
      <c r="BM949">
        <v>0</v>
      </c>
      <c r="BN949">
        <v>0</v>
      </c>
      <c r="BO949">
        <v>0</v>
      </c>
      <c r="BP949">
        <v>0</v>
      </c>
    </row>
    <row r="950" spans="64:68" x14ac:dyDescent="0.3">
      <c r="BL950">
        <v>50</v>
      </c>
      <c r="BM950">
        <v>0</v>
      </c>
      <c r="BN950">
        <v>0</v>
      </c>
      <c r="BO950">
        <v>0</v>
      </c>
      <c r="BP950">
        <v>0</v>
      </c>
    </row>
    <row r="951" spans="64:68" x14ac:dyDescent="0.3">
      <c r="BL951">
        <v>23</v>
      </c>
      <c r="BM951">
        <v>1</v>
      </c>
      <c r="BN951">
        <v>1</v>
      </c>
      <c r="BO951">
        <v>1</v>
      </c>
      <c r="BP951">
        <v>1</v>
      </c>
    </row>
    <row r="952" spans="64:68" x14ac:dyDescent="0.3">
      <c r="BL952">
        <v>64</v>
      </c>
      <c r="BM952">
        <v>1</v>
      </c>
      <c r="BN952">
        <v>1</v>
      </c>
      <c r="BO952">
        <v>0</v>
      </c>
      <c r="BP952">
        <v>1</v>
      </c>
    </row>
    <row r="953" spans="64:68" x14ac:dyDescent="0.3">
      <c r="BL953">
        <v>50</v>
      </c>
      <c r="BM953">
        <v>0</v>
      </c>
      <c r="BN953">
        <v>0</v>
      </c>
      <c r="BO953">
        <v>0</v>
      </c>
      <c r="BP953">
        <v>0</v>
      </c>
    </row>
    <row r="954" spans="64:68" x14ac:dyDescent="0.3">
      <c r="BL954">
        <v>8</v>
      </c>
      <c r="BM954">
        <v>0</v>
      </c>
      <c r="BN954">
        <v>1</v>
      </c>
      <c r="BO954">
        <v>0</v>
      </c>
      <c r="BP954">
        <v>1</v>
      </c>
    </row>
    <row r="955" spans="64:68" x14ac:dyDescent="0.3">
      <c r="BL955">
        <v>37</v>
      </c>
      <c r="BM955">
        <v>0</v>
      </c>
      <c r="BN955">
        <v>0</v>
      </c>
      <c r="BO955">
        <v>1</v>
      </c>
      <c r="BP955">
        <v>0</v>
      </c>
    </row>
    <row r="956" spans="64:68" x14ac:dyDescent="0.3">
      <c r="BL956">
        <v>63</v>
      </c>
      <c r="BM956">
        <v>0</v>
      </c>
      <c r="BN956">
        <v>0</v>
      </c>
      <c r="BO956">
        <v>0</v>
      </c>
      <c r="BP956">
        <v>0</v>
      </c>
    </row>
    <row r="957" spans="64:68" x14ac:dyDescent="0.3">
      <c r="BL957">
        <v>45</v>
      </c>
      <c r="BM957">
        <v>0</v>
      </c>
      <c r="BN957">
        <v>0</v>
      </c>
      <c r="BO957">
        <v>0</v>
      </c>
      <c r="BP957">
        <v>0</v>
      </c>
    </row>
    <row r="958" spans="64:68" x14ac:dyDescent="0.3">
      <c r="BL958">
        <v>26</v>
      </c>
      <c r="BM958">
        <v>0</v>
      </c>
      <c r="BN958">
        <v>0</v>
      </c>
      <c r="BO958">
        <v>0</v>
      </c>
      <c r="BP958">
        <v>0</v>
      </c>
    </row>
    <row r="959" spans="64:68" x14ac:dyDescent="0.3">
      <c r="BL959">
        <v>24</v>
      </c>
      <c r="BM959">
        <v>0</v>
      </c>
      <c r="BN959">
        <v>0</v>
      </c>
      <c r="BO959">
        <v>0</v>
      </c>
      <c r="BP959">
        <v>0</v>
      </c>
    </row>
    <row r="960" spans="64:68" x14ac:dyDescent="0.3">
      <c r="BL960">
        <v>31</v>
      </c>
      <c r="BM960">
        <v>1</v>
      </c>
      <c r="BN960">
        <v>1</v>
      </c>
      <c r="BO960">
        <v>0</v>
      </c>
      <c r="BP960">
        <v>1</v>
      </c>
    </row>
    <row r="961" spans="64:68" x14ac:dyDescent="0.3">
      <c r="BL961">
        <v>54</v>
      </c>
      <c r="BM961">
        <v>0</v>
      </c>
      <c r="BN961">
        <v>0</v>
      </c>
      <c r="BO961">
        <v>1</v>
      </c>
      <c r="BP961">
        <v>0</v>
      </c>
    </row>
    <row r="962" spans="64:68" x14ac:dyDescent="0.3">
      <c r="BL962">
        <v>60</v>
      </c>
      <c r="BM962">
        <v>1</v>
      </c>
      <c r="BN962">
        <v>1</v>
      </c>
      <c r="BO962">
        <v>1</v>
      </c>
      <c r="BP962">
        <v>1</v>
      </c>
    </row>
    <row r="963" spans="64:68" x14ac:dyDescent="0.3">
      <c r="BL963">
        <v>61</v>
      </c>
      <c r="BM963">
        <v>1</v>
      </c>
      <c r="BN963">
        <v>1</v>
      </c>
      <c r="BO963">
        <v>1</v>
      </c>
      <c r="BP963">
        <v>1</v>
      </c>
    </row>
    <row r="964" spans="64:68" x14ac:dyDescent="0.3">
      <c r="BL964">
        <v>58</v>
      </c>
      <c r="BM964">
        <v>0</v>
      </c>
      <c r="BN964">
        <v>1</v>
      </c>
      <c r="BO964">
        <v>0</v>
      </c>
      <c r="BP964">
        <v>1</v>
      </c>
    </row>
    <row r="965" spans="64:68" x14ac:dyDescent="0.3">
      <c r="BL965">
        <v>39</v>
      </c>
      <c r="BM965">
        <v>0</v>
      </c>
      <c r="BN965">
        <v>0</v>
      </c>
      <c r="BO965">
        <v>1</v>
      </c>
      <c r="BP965">
        <v>0</v>
      </c>
    </row>
    <row r="966" spans="64:68" x14ac:dyDescent="0.3">
      <c r="BL966">
        <v>30</v>
      </c>
      <c r="BM966">
        <v>0</v>
      </c>
      <c r="BN966">
        <v>0</v>
      </c>
      <c r="BO966">
        <v>1</v>
      </c>
      <c r="BP966">
        <v>0</v>
      </c>
    </row>
    <row r="967" spans="64:68" x14ac:dyDescent="0.3">
      <c r="BL967">
        <v>57</v>
      </c>
      <c r="BM967">
        <v>1</v>
      </c>
      <c r="BN967">
        <v>1</v>
      </c>
      <c r="BO967">
        <v>0</v>
      </c>
      <c r="BP967">
        <v>1</v>
      </c>
    </row>
    <row r="968" spans="64:68" x14ac:dyDescent="0.3">
      <c r="BL968">
        <v>40</v>
      </c>
      <c r="BM968">
        <v>1</v>
      </c>
      <c r="BN968">
        <v>1</v>
      </c>
      <c r="BO968">
        <v>0</v>
      </c>
      <c r="BP968">
        <v>1</v>
      </c>
    </row>
    <row r="969" spans="64:68" x14ac:dyDescent="0.3">
      <c r="BL969">
        <v>39</v>
      </c>
      <c r="BM969">
        <v>0</v>
      </c>
      <c r="BN969">
        <v>0</v>
      </c>
      <c r="BO969">
        <v>0</v>
      </c>
      <c r="BP969">
        <v>0</v>
      </c>
    </row>
    <row r="970" spans="64:68" x14ac:dyDescent="0.3">
      <c r="BL970">
        <v>9</v>
      </c>
      <c r="BM970">
        <v>1</v>
      </c>
      <c r="BN970">
        <v>1</v>
      </c>
      <c r="BO970">
        <v>1</v>
      </c>
      <c r="BP970">
        <v>1</v>
      </c>
    </row>
    <row r="971" spans="64:68" x14ac:dyDescent="0.3">
      <c r="BL971">
        <v>26</v>
      </c>
      <c r="BM971">
        <v>0</v>
      </c>
      <c r="BN971">
        <v>1</v>
      </c>
      <c r="BO971">
        <v>0</v>
      </c>
      <c r="BP971">
        <v>1</v>
      </c>
    </row>
    <row r="972" spans="64:68" x14ac:dyDescent="0.3">
      <c r="BL972">
        <v>40</v>
      </c>
      <c r="BM972">
        <v>1</v>
      </c>
      <c r="BN972">
        <v>1</v>
      </c>
      <c r="BO972">
        <v>0</v>
      </c>
      <c r="BP972">
        <v>1</v>
      </c>
    </row>
    <row r="973" spans="64:68" x14ac:dyDescent="0.3">
      <c r="BL973">
        <v>49</v>
      </c>
      <c r="BM973">
        <v>1</v>
      </c>
      <c r="BN973">
        <v>1</v>
      </c>
      <c r="BO973">
        <v>1</v>
      </c>
      <c r="BP973">
        <v>1</v>
      </c>
    </row>
    <row r="974" spans="64:68" x14ac:dyDescent="0.3">
      <c r="BL974">
        <v>29</v>
      </c>
      <c r="BM974">
        <v>0</v>
      </c>
      <c r="BN974">
        <v>0</v>
      </c>
      <c r="BO974">
        <v>1</v>
      </c>
      <c r="BP974">
        <v>0</v>
      </c>
    </row>
    <row r="975" spans="64:68" x14ac:dyDescent="0.3">
      <c r="BL975">
        <v>38</v>
      </c>
      <c r="BM975">
        <v>1</v>
      </c>
      <c r="BN975">
        <v>1</v>
      </c>
      <c r="BO975">
        <v>0</v>
      </c>
      <c r="BP975">
        <v>1</v>
      </c>
    </row>
    <row r="976" spans="64:68" x14ac:dyDescent="0.3">
      <c r="BL976">
        <v>52</v>
      </c>
      <c r="BM976">
        <v>0</v>
      </c>
      <c r="BN976">
        <v>0</v>
      </c>
      <c r="BO976">
        <v>1</v>
      </c>
      <c r="BP976">
        <v>0</v>
      </c>
    </row>
    <row r="977" spans="64:68" x14ac:dyDescent="0.3">
      <c r="BL977">
        <v>64</v>
      </c>
      <c r="BM977">
        <v>0</v>
      </c>
      <c r="BN977">
        <v>0</v>
      </c>
      <c r="BO977">
        <v>0</v>
      </c>
      <c r="BP977">
        <v>0</v>
      </c>
    </row>
    <row r="978" spans="64:68" x14ac:dyDescent="0.3">
      <c r="BL978">
        <v>11</v>
      </c>
      <c r="BM978">
        <v>0</v>
      </c>
      <c r="BN978">
        <v>0</v>
      </c>
      <c r="BO978">
        <v>0</v>
      </c>
      <c r="BP978">
        <v>0</v>
      </c>
    </row>
    <row r="979" spans="64:68" x14ac:dyDescent="0.3">
      <c r="BL979">
        <v>39</v>
      </c>
      <c r="BM979">
        <v>1</v>
      </c>
      <c r="BN979">
        <v>1</v>
      </c>
      <c r="BO979">
        <v>0</v>
      </c>
      <c r="BP979">
        <v>1</v>
      </c>
    </row>
    <row r="980" spans="64:68" x14ac:dyDescent="0.3">
      <c r="BL980">
        <v>39</v>
      </c>
      <c r="BM980">
        <v>1</v>
      </c>
      <c r="BN980">
        <v>1</v>
      </c>
      <c r="BO980">
        <v>0</v>
      </c>
      <c r="BP980">
        <v>1</v>
      </c>
    </row>
    <row r="981" spans="64:68" x14ac:dyDescent="0.3">
      <c r="BL981">
        <v>25</v>
      </c>
      <c r="BM981">
        <v>1</v>
      </c>
      <c r="BN981">
        <v>1</v>
      </c>
      <c r="BO981">
        <v>0</v>
      </c>
      <c r="BP981">
        <v>1</v>
      </c>
    </row>
    <row r="982" spans="64:68" x14ac:dyDescent="0.3">
      <c r="BL982">
        <v>9</v>
      </c>
      <c r="BM982">
        <v>0</v>
      </c>
      <c r="BN982">
        <v>0</v>
      </c>
      <c r="BO982">
        <v>1</v>
      </c>
      <c r="BP982">
        <v>0</v>
      </c>
    </row>
    <row r="983" spans="64:68" x14ac:dyDescent="0.3">
      <c r="BL983">
        <v>61</v>
      </c>
      <c r="BM983">
        <v>1</v>
      </c>
      <c r="BN983">
        <v>1</v>
      </c>
      <c r="BO983">
        <v>0</v>
      </c>
      <c r="BP983">
        <v>1</v>
      </c>
    </row>
    <row r="984" spans="64:68" x14ac:dyDescent="0.3">
      <c r="BL984">
        <v>18</v>
      </c>
      <c r="BM984">
        <v>0</v>
      </c>
      <c r="BN984">
        <v>0</v>
      </c>
      <c r="BO984">
        <v>1</v>
      </c>
      <c r="BP984">
        <v>0</v>
      </c>
    </row>
    <row r="985" spans="64:68" x14ac:dyDescent="0.3">
      <c r="BL985">
        <v>55</v>
      </c>
      <c r="BM985">
        <v>1</v>
      </c>
      <c r="BN985">
        <v>1</v>
      </c>
      <c r="BO985">
        <v>0</v>
      </c>
      <c r="BP985">
        <v>1</v>
      </c>
    </row>
    <row r="986" spans="64:68" x14ac:dyDescent="0.3">
      <c r="BL986">
        <v>11</v>
      </c>
      <c r="BM986">
        <v>0</v>
      </c>
      <c r="BN986">
        <v>0</v>
      </c>
      <c r="BO986">
        <v>0</v>
      </c>
      <c r="BP986">
        <v>0</v>
      </c>
    </row>
    <row r="987" spans="64:68" x14ac:dyDescent="0.3">
      <c r="BL987">
        <v>23</v>
      </c>
      <c r="BM987">
        <v>1</v>
      </c>
      <c r="BN987">
        <v>1</v>
      </c>
      <c r="BO987">
        <v>0</v>
      </c>
      <c r="BP987">
        <v>1</v>
      </c>
    </row>
    <row r="988" spans="64:68" x14ac:dyDescent="0.3">
      <c r="BL988">
        <v>37</v>
      </c>
      <c r="BM988">
        <v>1</v>
      </c>
      <c r="BN988">
        <v>1</v>
      </c>
      <c r="BO988">
        <v>1</v>
      </c>
      <c r="BP988">
        <v>1</v>
      </c>
    </row>
    <row r="989" spans="64:68" x14ac:dyDescent="0.3">
      <c r="BL989">
        <v>33</v>
      </c>
      <c r="BM989">
        <v>0</v>
      </c>
      <c r="BN989">
        <v>0</v>
      </c>
      <c r="BO989">
        <v>1</v>
      </c>
      <c r="BP989">
        <v>0</v>
      </c>
    </row>
    <row r="990" spans="64:68" x14ac:dyDescent="0.3">
      <c r="BL990">
        <v>18</v>
      </c>
      <c r="BM990">
        <v>1</v>
      </c>
      <c r="BN990">
        <v>1</v>
      </c>
      <c r="BO990">
        <v>0</v>
      </c>
      <c r="BP990">
        <v>1</v>
      </c>
    </row>
    <row r="991" spans="64:68" x14ac:dyDescent="0.3">
      <c r="BL991">
        <v>15</v>
      </c>
      <c r="BM991">
        <v>0</v>
      </c>
      <c r="BN991">
        <v>0</v>
      </c>
      <c r="BO991">
        <v>0</v>
      </c>
      <c r="BP991">
        <v>0</v>
      </c>
    </row>
    <row r="992" spans="64:68" x14ac:dyDescent="0.3">
      <c r="BL992">
        <v>44</v>
      </c>
      <c r="BM992">
        <v>0</v>
      </c>
      <c r="BN992">
        <v>0</v>
      </c>
      <c r="BO992">
        <v>1</v>
      </c>
      <c r="BP992">
        <v>0</v>
      </c>
    </row>
    <row r="993" spans="64:68" x14ac:dyDescent="0.3">
      <c r="BL993">
        <v>16</v>
      </c>
      <c r="BM993">
        <v>1</v>
      </c>
      <c r="BN993">
        <v>1</v>
      </c>
      <c r="BO993">
        <v>0</v>
      </c>
      <c r="BP993">
        <v>1</v>
      </c>
    </row>
    <row r="994" spans="64:68" x14ac:dyDescent="0.3">
      <c r="BL994">
        <v>41</v>
      </c>
      <c r="BM994">
        <v>1</v>
      </c>
      <c r="BN994">
        <v>1</v>
      </c>
      <c r="BO994">
        <v>0</v>
      </c>
      <c r="BP994">
        <v>1</v>
      </c>
    </row>
    <row r="995" spans="64:68" x14ac:dyDescent="0.3">
      <c r="BL995">
        <v>45</v>
      </c>
      <c r="BM995">
        <v>0</v>
      </c>
      <c r="BN995">
        <v>0</v>
      </c>
      <c r="BO995">
        <v>1</v>
      </c>
      <c r="BP995">
        <v>0</v>
      </c>
    </row>
    <row r="996" spans="64:68" x14ac:dyDescent="0.3">
      <c r="BL996">
        <v>19</v>
      </c>
      <c r="BM996">
        <v>1</v>
      </c>
      <c r="BN996">
        <v>1</v>
      </c>
      <c r="BO996">
        <v>1</v>
      </c>
      <c r="BP996">
        <v>1</v>
      </c>
    </row>
    <row r="997" spans="64:68" x14ac:dyDescent="0.3">
      <c r="BL997">
        <v>28</v>
      </c>
      <c r="BM997">
        <v>0</v>
      </c>
      <c r="BN997">
        <v>0</v>
      </c>
      <c r="BO997">
        <v>1</v>
      </c>
      <c r="BP997">
        <v>0</v>
      </c>
    </row>
  </sheetData>
  <mergeCells count="34">
    <mergeCell ref="BW29:BZ34"/>
    <mergeCell ref="AS36:AU37"/>
    <mergeCell ref="N31:O32"/>
    <mergeCell ref="P31:P32"/>
    <mergeCell ref="Q31:Q32"/>
    <mergeCell ref="P9:P10"/>
    <mergeCell ref="R5:S5"/>
    <mergeCell ref="S28:U29"/>
    <mergeCell ref="N25:O26"/>
    <mergeCell ref="P25:P26"/>
    <mergeCell ref="Q25:Q26"/>
    <mergeCell ref="N28:O29"/>
    <mergeCell ref="P28:P29"/>
    <mergeCell ref="Q28:Q29"/>
    <mergeCell ref="N19:O20"/>
    <mergeCell ref="P19:P20"/>
    <mergeCell ref="Q19:Q20"/>
    <mergeCell ref="Q22:Q23"/>
    <mergeCell ref="BR3:CE3"/>
    <mergeCell ref="N2:Y3"/>
    <mergeCell ref="AB2:AK3"/>
    <mergeCell ref="E30:G30"/>
    <mergeCell ref="E13:G13"/>
    <mergeCell ref="N5:P5"/>
    <mergeCell ref="N13:O14"/>
    <mergeCell ref="P13:P14"/>
    <mergeCell ref="N16:O17"/>
    <mergeCell ref="P16:P17"/>
    <mergeCell ref="Q16:Q17"/>
    <mergeCell ref="P22:P23"/>
    <mergeCell ref="N22:O23"/>
    <mergeCell ref="N6:O7"/>
    <mergeCell ref="P6:P7"/>
    <mergeCell ref="N9:O10"/>
  </mergeCells>
  <phoneticPr fontId="4" type="noConversion"/>
  <conditionalFormatting sqref="BS5:BW9">
    <cfRule type="colorScale" priority="1">
      <colorScale>
        <cfvo type="min"/>
        <cfvo type="percentile" val="50"/>
        <cfvo type="max"/>
        <color rgb="FFF8696B"/>
        <color rgb="FFFFEB84"/>
        <color rgb="FF63BE7B"/>
      </colorScale>
    </cfRule>
  </conditionalFormatting>
  <dataValidations disablePrompts="1" count="6">
    <dataValidation type="list" allowBlank="1" showInputMessage="1" showErrorMessage="1" sqref="S9" xr:uid="{A4B72F6C-6FCA-4BD8-BA31-FBDF6FDDC5EA}">
      <formula1>$A$55:$A$57</formula1>
    </dataValidation>
    <dataValidation type="list" allowBlank="1" showInputMessage="1" showErrorMessage="1" sqref="S10" xr:uid="{5B2F172E-022B-4F00-8CC6-49888CED8D1F}">
      <formula1>$G$2:$G$3</formula1>
    </dataValidation>
    <dataValidation type="list" allowBlank="1" showInputMessage="1" showErrorMessage="1" sqref="S7" xr:uid="{EB473C38-3FA9-4381-A865-92C4C92CBC8F}">
      <formula1>#REF!</formula1>
    </dataValidation>
    <dataValidation type="list" allowBlank="1" showInputMessage="1" showErrorMessage="1" sqref="A3" xr:uid="{ED82FEAA-F330-4E4F-8546-BDEAA03876D4}">
      <formula1>$E$2:$E$3</formula1>
    </dataValidation>
    <dataValidation type="list" allowBlank="1" showInputMessage="1" showErrorMessage="1" sqref="S6" xr:uid="{33AFBDA2-FB41-40FE-8E19-D1AD21D89EF9}">
      <formula1>$AZ$11:$AZ$15</formula1>
    </dataValidation>
    <dataValidation type="list" allowBlank="1" showInputMessage="1" showErrorMessage="1" sqref="S8" xr:uid="{D2866EA8-CC17-4CED-8105-2DA0CFC44629}">
      <formula1>$AZ$22:$AZ$23</formula1>
    </dataValidation>
  </dataValidations>
  <pageMargins left="0.7" right="0.7" top="0.75" bottom="0.75" header="0.3" footer="0.3"/>
  <pageSetup paperSize="9" orientation="portrait" r:id="rId20"/>
  <drawing r:id="rId21"/>
  <legacyDrawing r:id="rId22"/>
  <mc:AlternateContent xmlns:mc="http://schemas.openxmlformats.org/markup-compatibility/2006">
    <mc:Choice Requires="x14">
      <controls>
        <mc:AlternateContent xmlns:mc="http://schemas.openxmlformats.org/markup-compatibility/2006">
          <mc:Choice Requires="x14">
            <control shapeId="1026" r:id="rId23" name="Scroll Bar 2">
              <controlPr defaultSize="0" autoPict="0">
                <anchor moveWithCells="1">
                  <from>
                    <xdr:col>43</xdr:col>
                    <xdr:colOff>175260</xdr:colOff>
                    <xdr:row>16</xdr:row>
                    <xdr:rowOff>182880</xdr:rowOff>
                  </from>
                  <to>
                    <xdr:col>43</xdr:col>
                    <xdr:colOff>640080</xdr:colOff>
                    <xdr:row>31</xdr:row>
                    <xdr:rowOff>137160</xdr:rowOff>
                  </to>
                </anchor>
              </controlPr>
            </control>
          </mc:Choice>
        </mc:AlternateContent>
      </controls>
    </mc:Choice>
  </mc:AlternateContent>
  <tableParts count="2">
    <tablePart r:id="rId24"/>
    <tablePart r:id="rId25"/>
  </tableParts>
  <extLst>
    <ext xmlns:x14="http://schemas.microsoft.com/office/spreadsheetml/2009/9/main" uri="{A8765BA9-456A-4dab-B4F3-ACF838C121DE}">
      <x14:slicerList>
        <x14:slicer r:id="rId2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7F056-AAF6-4161-B30A-A93FFFD2BAFF}">
  <sheetPr codeName="Sheet1"/>
  <dimension ref="A1:K997"/>
  <sheetViews>
    <sheetView workbookViewId="0">
      <selection activeCell="G5" sqref="G5"/>
    </sheetView>
  </sheetViews>
  <sheetFormatPr defaultRowHeight="14.4" x14ac:dyDescent="0.3"/>
  <cols>
    <col min="1" max="1" width="9.33203125" bestFit="1" customWidth="1"/>
    <col min="2" max="2" width="6.44140625" bestFit="1" customWidth="1"/>
    <col min="3" max="3" width="12.109375" bestFit="1" customWidth="1"/>
    <col min="4" max="4" width="6.5546875" bestFit="1" customWidth="1"/>
    <col min="5" max="5" width="6" bestFit="1" customWidth="1"/>
    <col min="6" max="6" width="6.5546875" bestFit="1" customWidth="1"/>
    <col min="7" max="7" width="14.88671875" bestFit="1" customWidth="1"/>
    <col min="8" max="8" width="17.88671875" bestFit="1" customWidth="1"/>
    <col min="9" max="9" width="11.77734375" bestFit="1" customWidth="1"/>
    <col min="10" max="10" width="12.5546875" bestFit="1" customWidth="1"/>
    <col min="11" max="11" width="11" customWidth="1"/>
  </cols>
  <sheetData>
    <row r="1" spans="1:11" x14ac:dyDescent="0.3">
      <c r="A1" t="s">
        <v>0</v>
      </c>
      <c r="B1" t="s">
        <v>1</v>
      </c>
      <c r="C1" t="s">
        <v>52</v>
      </c>
      <c r="D1" t="s">
        <v>2</v>
      </c>
      <c r="E1" t="s">
        <v>3</v>
      </c>
      <c r="F1" t="s">
        <v>4</v>
      </c>
      <c r="G1" t="s">
        <v>103</v>
      </c>
      <c r="H1" t="s">
        <v>5</v>
      </c>
      <c r="I1" t="s">
        <v>6</v>
      </c>
      <c r="J1" t="s">
        <v>7</v>
      </c>
      <c r="K1" t="s">
        <v>8</v>
      </c>
    </row>
    <row r="2" spans="1:11" x14ac:dyDescent="0.3">
      <c r="A2" s="1" t="s">
        <v>9</v>
      </c>
      <c r="B2">
        <v>45</v>
      </c>
      <c r="C2" t="str" cm="1">
        <f t="array" ref="C2">_xlfn.IFS(
    Dataset[[#This Row],[Age]]&lt;=10, "0-10",
    AND(Dataset[[#This Row],[Age]]&gt;10, Dataset[[#This Row],[Age]]&lt;=18), "11-18",
    AND(Dataset[[#This Row],[Age]]&gt;18, Dataset[[#This Row],[Age]]&lt;=30), "19-30",
    AND(Dataset[[#This Row],[Age]]&gt;30, Dataset[[#This Row],[Age]]&lt;=60), "31-60",
    Dataset[[#This Row],[Age]]&gt;60, "above 60"
)</f>
        <v>31-60</v>
      </c>
      <c r="D2">
        <v>0</v>
      </c>
      <c r="E2">
        <v>0</v>
      </c>
      <c r="F2">
        <v>0</v>
      </c>
      <c r="G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 s="1" t="s">
        <v>10</v>
      </c>
      <c r="I2" s="1" t="s">
        <v>11</v>
      </c>
      <c r="J2" s="1" t="s">
        <v>12</v>
      </c>
      <c r="K2">
        <v>0</v>
      </c>
    </row>
    <row r="3" spans="1:11" x14ac:dyDescent="0.3">
      <c r="A3" s="1" t="s">
        <v>13</v>
      </c>
      <c r="B3">
        <v>17</v>
      </c>
      <c r="C3" t="str" cm="1">
        <f t="array" ref="C3">_xlfn.IFS(
    Dataset[[#This Row],[Age]]&lt;=10, "0-10",
    AND(Dataset[[#This Row],[Age]]&gt;10, Dataset[[#This Row],[Age]]&lt;=18), "11-18",
    AND(Dataset[[#This Row],[Age]]&gt;18, Dataset[[#This Row],[Age]]&lt;=30), "19-30",
    AND(Dataset[[#This Row],[Age]]&gt;30, Dataset[[#This Row],[Age]]&lt;=60), "31-60",
    Dataset[[#This Row],[Age]]&gt;60, "above 60"
)</f>
        <v>11-18</v>
      </c>
      <c r="D3">
        <v>0</v>
      </c>
      <c r="E3">
        <v>0</v>
      </c>
      <c r="F3">
        <v>1</v>
      </c>
      <c r="G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 s="1" t="s">
        <v>14</v>
      </c>
      <c r="I3" s="1" t="s">
        <v>15</v>
      </c>
      <c r="J3" s="1" t="s">
        <v>12</v>
      </c>
      <c r="K3">
        <v>0</v>
      </c>
    </row>
    <row r="4" spans="1:11" x14ac:dyDescent="0.3">
      <c r="A4" s="1" t="s">
        <v>9</v>
      </c>
      <c r="B4">
        <v>29</v>
      </c>
      <c r="C4" t="str" cm="1">
        <f t="array" ref="C4">_xlfn.IFS(
    Dataset[[#This Row],[Age]]&lt;=10, "0-10",
    AND(Dataset[[#This Row],[Age]]&gt;10, Dataset[[#This Row],[Age]]&lt;=18), "11-18",
    AND(Dataset[[#This Row],[Age]]&gt;18, Dataset[[#This Row],[Age]]&lt;=30), "19-30",
    AND(Dataset[[#This Row],[Age]]&gt;30, Dataset[[#This Row],[Age]]&lt;=60), "31-60",
    Dataset[[#This Row],[Age]]&gt;60, "above 60"
)</f>
        <v>19-30</v>
      </c>
      <c r="D4">
        <v>0</v>
      </c>
      <c r="E4">
        <v>0</v>
      </c>
      <c r="F4">
        <v>0</v>
      </c>
      <c r="G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 s="1" t="s">
        <v>16</v>
      </c>
      <c r="I4" s="1" t="s">
        <v>11</v>
      </c>
      <c r="J4" s="1" t="s">
        <v>17</v>
      </c>
      <c r="K4">
        <v>0</v>
      </c>
    </row>
    <row r="5" spans="1:11" x14ac:dyDescent="0.3">
      <c r="A5" s="1" t="s">
        <v>9</v>
      </c>
      <c r="B5">
        <v>63</v>
      </c>
      <c r="C5" t="str" cm="1">
        <f t="array" ref="C5">_xlfn.IFS(
    Dataset[[#This Row],[Age]]&lt;=10, "0-10",
    AND(Dataset[[#This Row],[Age]]&gt;10, Dataset[[#This Row],[Age]]&lt;=18), "11-18",
    AND(Dataset[[#This Row],[Age]]&gt;18, Dataset[[#This Row],[Age]]&lt;=30), "19-30",
    AND(Dataset[[#This Row],[Age]]&gt;30, Dataset[[#This Row],[Age]]&lt;=60), "31-60",
    Dataset[[#This Row],[Age]]&gt;60, "above 60"
)</f>
        <v>above 60</v>
      </c>
      <c r="D5">
        <v>1</v>
      </c>
      <c r="E5">
        <v>1</v>
      </c>
      <c r="F5">
        <v>0</v>
      </c>
      <c r="G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 s="1" t="s">
        <v>18</v>
      </c>
      <c r="I5" s="1" t="s">
        <v>15</v>
      </c>
      <c r="J5" s="1" t="s">
        <v>17</v>
      </c>
      <c r="K5">
        <v>1</v>
      </c>
    </row>
    <row r="6" spans="1:11" x14ac:dyDescent="0.3">
      <c r="A6" s="1" t="s">
        <v>13</v>
      </c>
      <c r="B6">
        <v>22</v>
      </c>
      <c r="C6" t="str" cm="1">
        <f t="array" ref="C6">_xlfn.IFS(
    Dataset[[#This Row],[Age]]&lt;=10, "0-10",
    AND(Dataset[[#This Row],[Age]]&gt;10, Dataset[[#This Row],[Age]]&lt;=18), "11-18",
    AND(Dataset[[#This Row],[Age]]&gt;18, Dataset[[#This Row],[Age]]&lt;=30), "19-30",
    AND(Dataset[[#This Row],[Age]]&gt;30, Dataset[[#This Row],[Age]]&lt;=60), "31-60",
    Dataset[[#This Row],[Age]]&gt;60, "above 60"
)</f>
        <v>19-30</v>
      </c>
      <c r="D6">
        <v>0</v>
      </c>
      <c r="E6">
        <v>0</v>
      </c>
      <c r="F6">
        <v>0</v>
      </c>
      <c r="G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 s="1" t="s">
        <v>19</v>
      </c>
      <c r="I6" s="1" t="s">
        <v>11</v>
      </c>
      <c r="J6" s="1" t="s">
        <v>12</v>
      </c>
      <c r="K6">
        <v>0</v>
      </c>
    </row>
    <row r="7" spans="1:11" x14ac:dyDescent="0.3">
      <c r="A7" s="1" t="s">
        <v>9</v>
      </c>
      <c r="B7">
        <v>36</v>
      </c>
      <c r="C7" t="str" cm="1">
        <f t="array" ref="C7">_xlfn.IFS(
    Dataset[[#This Row],[Age]]&lt;=10, "0-10",
    AND(Dataset[[#This Row],[Age]]&gt;10, Dataset[[#This Row],[Age]]&lt;=18), "11-18",
    AND(Dataset[[#This Row],[Age]]&gt;18, Dataset[[#This Row],[Age]]&lt;=30), "19-30",
    AND(Dataset[[#This Row],[Age]]&gt;30, Dataset[[#This Row],[Age]]&lt;=60), "31-60",
    Dataset[[#This Row],[Age]]&gt;60, "above 60"
)</f>
        <v>31-60</v>
      </c>
      <c r="D7">
        <v>0</v>
      </c>
      <c r="E7">
        <v>0</v>
      </c>
      <c r="F7">
        <v>1</v>
      </c>
      <c r="G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 s="1" t="s">
        <v>20</v>
      </c>
      <c r="I7" s="1" t="s">
        <v>15</v>
      </c>
      <c r="J7" s="1" t="s">
        <v>17</v>
      </c>
      <c r="K7">
        <v>0</v>
      </c>
    </row>
    <row r="8" spans="1:11" x14ac:dyDescent="0.3">
      <c r="A8" s="1" t="s">
        <v>9</v>
      </c>
      <c r="B8">
        <v>15</v>
      </c>
      <c r="C8" t="str" cm="1">
        <f t="array" ref="C8">_xlfn.IFS(
    Dataset[[#This Row],[Age]]&lt;=10, "0-10",
    AND(Dataset[[#This Row],[Age]]&gt;10, Dataset[[#This Row],[Age]]&lt;=18), "11-18",
    AND(Dataset[[#This Row],[Age]]&gt;18, Dataset[[#This Row],[Age]]&lt;=30), "19-30",
    AND(Dataset[[#This Row],[Age]]&gt;30, Dataset[[#This Row],[Age]]&lt;=60), "31-60",
    Dataset[[#This Row],[Age]]&gt;60, "above 60"
)</f>
        <v>11-18</v>
      </c>
      <c r="D8">
        <v>0</v>
      </c>
      <c r="E8">
        <v>0</v>
      </c>
      <c r="F8">
        <v>1</v>
      </c>
      <c r="G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 s="1" t="s">
        <v>21</v>
      </c>
      <c r="I8" s="1" t="s">
        <v>11</v>
      </c>
      <c r="J8" s="1" t="s">
        <v>12</v>
      </c>
      <c r="K8">
        <v>0</v>
      </c>
    </row>
    <row r="9" spans="1:11" x14ac:dyDescent="0.3">
      <c r="A9" s="1" t="s">
        <v>13</v>
      </c>
      <c r="B9">
        <v>26</v>
      </c>
      <c r="C9" t="str" cm="1">
        <f t="array" ref="C9">_xlfn.IFS(
    Dataset[[#This Row],[Age]]&lt;=10, "0-10",
    AND(Dataset[[#This Row],[Age]]&gt;10, Dataset[[#This Row],[Age]]&lt;=18), "11-18",
    AND(Dataset[[#This Row],[Age]]&gt;18, Dataset[[#This Row],[Age]]&lt;=30), "19-30",
    AND(Dataset[[#This Row],[Age]]&gt;30, Dataset[[#This Row],[Age]]&lt;=60), "31-60",
    Dataset[[#This Row],[Age]]&gt;60, "above 60"
)</f>
        <v>19-30</v>
      </c>
      <c r="D9">
        <v>0</v>
      </c>
      <c r="E9">
        <v>0</v>
      </c>
      <c r="F9">
        <v>0</v>
      </c>
      <c r="G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 s="1" t="s">
        <v>21</v>
      </c>
      <c r="I9" s="1" t="s">
        <v>15</v>
      </c>
      <c r="J9" s="1" t="s">
        <v>17</v>
      </c>
      <c r="K9">
        <v>0</v>
      </c>
    </row>
    <row r="10" spans="1:11" x14ac:dyDescent="0.3">
      <c r="A10" s="1" t="s">
        <v>9</v>
      </c>
      <c r="B10">
        <v>31</v>
      </c>
      <c r="C10" t="str" cm="1">
        <f t="array" ref="C10">_xlfn.IFS(
    Dataset[[#This Row],[Age]]&lt;=10, "0-10",
    AND(Dataset[[#This Row],[Age]]&gt;10, Dataset[[#This Row],[Age]]&lt;=18), "11-18",
    AND(Dataset[[#This Row],[Age]]&gt;18, Dataset[[#This Row],[Age]]&lt;=30), "19-30",
    AND(Dataset[[#This Row],[Age]]&gt;30, Dataset[[#This Row],[Age]]&lt;=60), "31-60",
    Dataset[[#This Row],[Age]]&gt;60, "above 60"
)</f>
        <v>31-60</v>
      </c>
      <c r="D10">
        <v>0</v>
      </c>
      <c r="E10">
        <v>0</v>
      </c>
      <c r="F10">
        <v>1</v>
      </c>
      <c r="G1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0" s="1" t="s">
        <v>20</v>
      </c>
      <c r="I10" s="1" t="s">
        <v>11</v>
      </c>
      <c r="J10" s="1" t="s">
        <v>22</v>
      </c>
      <c r="K10">
        <v>0</v>
      </c>
    </row>
    <row r="11" spans="1:11" x14ac:dyDescent="0.3">
      <c r="A11" s="1" t="s">
        <v>9</v>
      </c>
      <c r="B11">
        <v>10</v>
      </c>
      <c r="C11" t="str" cm="1">
        <f t="array" ref="C11">_xlfn.IFS(
    Dataset[[#This Row],[Age]]&lt;=10, "0-10",
    AND(Dataset[[#This Row],[Age]]&gt;10, Dataset[[#This Row],[Age]]&lt;=18), "11-18",
    AND(Dataset[[#This Row],[Age]]&gt;18, Dataset[[#This Row],[Age]]&lt;=30), "19-30",
    AND(Dataset[[#This Row],[Age]]&gt;30, Dataset[[#This Row],[Age]]&lt;=60), "31-60",
    Dataset[[#This Row],[Age]]&gt;60, "above 60"
)</f>
        <v>0-10</v>
      </c>
      <c r="D11">
        <v>0</v>
      </c>
      <c r="E11">
        <v>0</v>
      </c>
      <c r="F11">
        <v>1</v>
      </c>
      <c r="G1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1" s="1" t="s">
        <v>23</v>
      </c>
      <c r="I11" s="1" t="s">
        <v>15</v>
      </c>
      <c r="J11" s="1" t="s">
        <v>22</v>
      </c>
      <c r="K11">
        <v>0</v>
      </c>
    </row>
    <row r="12" spans="1:11" x14ac:dyDescent="0.3">
      <c r="A12" s="1" t="s">
        <v>9</v>
      </c>
      <c r="B12">
        <v>31</v>
      </c>
      <c r="C12" t="str" cm="1">
        <f t="array" ref="C12">_xlfn.IFS(
    Dataset[[#This Row],[Age]]&lt;=10, "0-10",
    AND(Dataset[[#This Row],[Age]]&gt;10, Dataset[[#This Row],[Age]]&lt;=18), "11-18",
    AND(Dataset[[#This Row],[Age]]&gt;18, Dataset[[#This Row],[Age]]&lt;=30), "19-30",
    AND(Dataset[[#This Row],[Age]]&gt;30, Dataset[[#This Row],[Age]]&lt;=60), "31-60",
    Dataset[[#This Row],[Age]]&gt;60, "above 60"
)</f>
        <v>31-60</v>
      </c>
      <c r="D12">
        <v>1</v>
      </c>
      <c r="E12">
        <v>1</v>
      </c>
      <c r="F12">
        <v>0</v>
      </c>
      <c r="G1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2" s="1" t="s">
        <v>24</v>
      </c>
      <c r="I12" s="1" t="s">
        <v>11</v>
      </c>
      <c r="J12" s="1" t="s">
        <v>12</v>
      </c>
      <c r="K12">
        <v>1</v>
      </c>
    </row>
    <row r="13" spans="1:11" x14ac:dyDescent="0.3">
      <c r="A13" s="1" t="s">
        <v>13</v>
      </c>
      <c r="B13">
        <v>10</v>
      </c>
      <c r="C13" t="str" cm="1">
        <f t="array" ref="C13">_xlfn.IFS(
    Dataset[[#This Row],[Age]]&lt;=10, "0-10",
    AND(Dataset[[#This Row],[Age]]&gt;10, Dataset[[#This Row],[Age]]&lt;=18), "11-18",
    AND(Dataset[[#This Row],[Age]]&gt;18, Dataset[[#This Row],[Age]]&lt;=30), "19-30",
    AND(Dataset[[#This Row],[Age]]&gt;30, Dataset[[#This Row],[Age]]&lt;=60), "31-60",
    Dataset[[#This Row],[Age]]&gt;60, "above 60"
)</f>
        <v>0-10</v>
      </c>
      <c r="D13">
        <v>0</v>
      </c>
      <c r="E13">
        <v>0</v>
      </c>
      <c r="F13">
        <v>0</v>
      </c>
      <c r="G1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3" s="1" t="s">
        <v>20</v>
      </c>
      <c r="I13" s="1" t="s">
        <v>15</v>
      </c>
      <c r="J13" s="1" t="s">
        <v>22</v>
      </c>
      <c r="K13">
        <v>0</v>
      </c>
    </row>
    <row r="14" spans="1:11" x14ac:dyDescent="0.3">
      <c r="A14" s="1" t="s">
        <v>9</v>
      </c>
      <c r="B14">
        <v>13</v>
      </c>
      <c r="C14" t="str" cm="1">
        <f t="array" ref="C14">_xlfn.IFS(
    Dataset[[#This Row],[Age]]&lt;=10, "0-10",
    AND(Dataset[[#This Row],[Age]]&gt;10, Dataset[[#This Row],[Age]]&lt;=18), "11-18",
    AND(Dataset[[#This Row],[Age]]&gt;18, Dataset[[#This Row],[Age]]&lt;=30), "19-30",
    AND(Dataset[[#This Row],[Age]]&gt;30, Dataset[[#This Row],[Age]]&lt;=60), "31-60",
    Dataset[[#This Row],[Age]]&gt;60, "above 60"
)</f>
        <v>11-18</v>
      </c>
      <c r="D14">
        <v>1</v>
      </c>
      <c r="E14">
        <v>1</v>
      </c>
      <c r="F14">
        <v>0</v>
      </c>
      <c r="G1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4" s="1" t="s">
        <v>25</v>
      </c>
      <c r="I14" s="1" t="s">
        <v>11</v>
      </c>
      <c r="J14" s="1" t="s">
        <v>12</v>
      </c>
      <c r="K14">
        <v>1</v>
      </c>
    </row>
    <row r="15" spans="1:11" x14ac:dyDescent="0.3">
      <c r="A15" s="1" t="s">
        <v>9</v>
      </c>
      <c r="B15">
        <v>43</v>
      </c>
      <c r="C15" t="str" cm="1">
        <f t="array" ref="C15">_xlfn.IFS(
    Dataset[[#This Row],[Age]]&lt;=10, "0-10",
    AND(Dataset[[#This Row],[Age]]&gt;10, Dataset[[#This Row],[Age]]&lt;=18), "11-18",
    AND(Dataset[[#This Row],[Age]]&gt;18, Dataset[[#This Row],[Age]]&lt;=30), "19-30",
    AND(Dataset[[#This Row],[Age]]&gt;30, Dataset[[#This Row],[Age]]&lt;=60), "31-60",
    Dataset[[#This Row],[Age]]&gt;60, "above 60"
)</f>
        <v>31-60</v>
      </c>
      <c r="D15">
        <v>1</v>
      </c>
      <c r="E15">
        <v>1</v>
      </c>
      <c r="F15">
        <v>0</v>
      </c>
      <c r="G1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5" s="1" t="s">
        <v>26</v>
      </c>
      <c r="I15" s="1" t="s">
        <v>15</v>
      </c>
      <c r="J15" s="1" t="s">
        <v>12</v>
      </c>
      <c r="K15">
        <v>1</v>
      </c>
    </row>
    <row r="16" spans="1:11" x14ac:dyDescent="0.3">
      <c r="A16" s="1" t="s">
        <v>13</v>
      </c>
      <c r="B16">
        <v>52</v>
      </c>
      <c r="C16" t="str" cm="1">
        <f t="array" ref="C16">_xlfn.IFS(
    Dataset[[#This Row],[Age]]&lt;=10, "0-10",
    AND(Dataset[[#This Row],[Age]]&gt;10, Dataset[[#This Row],[Age]]&lt;=18), "11-18",
    AND(Dataset[[#This Row],[Age]]&gt;18, Dataset[[#This Row],[Age]]&lt;=30), "19-30",
    AND(Dataset[[#This Row],[Age]]&gt;30, Dataset[[#This Row],[Age]]&lt;=60), "31-60",
    Dataset[[#This Row],[Age]]&gt;60, "above 60"
)</f>
        <v>31-60</v>
      </c>
      <c r="D16">
        <v>0</v>
      </c>
      <c r="E16">
        <v>0</v>
      </c>
      <c r="F16">
        <v>0</v>
      </c>
      <c r="G1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6" s="1" t="s">
        <v>27</v>
      </c>
      <c r="I16" s="1" t="s">
        <v>11</v>
      </c>
      <c r="J16" s="1" t="s">
        <v>17</v>
      </c>
      <c r="K16">
        <v>0</v>
      </c>
    </row>
    <row r="17" spans="1:11" x14ac:dyDescent="0.3">
      <c r="A17" s="1" t="s">
        <v>9</v>
      </c>
      <c r="B17">
        <v>12</v>
      </c>
      <c r="C17" t="str" cm="1">
        <f t="array" ref="C17">_xlfn.IFS(
    Dataset[[#This Row],[Age]]&lt;=10, "0-10",
    AND(Dataset[[#This Row],[Age]]&gt;10, Dataset[[#This Row],[Age]]&lt;=18), "11-18",
    AND(Dataset[[#This Row],[Age]]&gt;18, Dataset[[#This Row],[Age]]&lt;=30), "19-30",
    AND(Dataset[[#This Row],[Age]]&gt;30, Dataset[[#This Row],[Age]]&lt;=60), "31-60",
    Dataset[[#This Row],[Age]]&gt;60, "above 60"
)</f>
        <v>11-18</v>
      </c>
      <c r="D17">
        <v>1</v>
      </c>
      <c r="E17">
        <v>1</v>
      </c>
      <c r="F17">
        <v>1</v>
      </c>
      <c r="G1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7" s="1" t="s">
        <v>28</v>
      </c>
      <c r="I17" s="1" t="s">
        <v>15</v>
      </c>
      <c r="J17" s="1" t="s">
        <v>22</v>
      </c>
      <c r="K17">
        <v>1</v>
      </c>
    </row>
    <row r="18" spans="1:11" x14ac:dyDescent="0.3">
      <c r="A18" s="1" t="s">
        <v>13</v>
      </c>
      <c r="B18">
        <v>18</v>
      </c>
      <c r="C18" t="str" cm="1">
        <f t="array" ref="C18">_xlfn.IFS(
    Dataset[[#This Row],[Age]]&lt;=10, "0-10",
    AND(Dataset[[#This Row],[Age]]&gt;10, Dataset[[#This Row],[Age]]&lt;=18), "11-18",
    AND(Dataset[[#This Row],[Age]]&gt;18, Dataset[[#This Row],[Age]]&lt;=30), "19-30",
    AND(Dataset[[#This Row],[Age]]&gt;30, Dataset[[#This Row],[Age]]&lt;=60), "31-60",
    Dataset[[#This Row],[Age]]&gt;60, "above 60"
)</f>
        <v>11-18</v>
      </c>
      <c r="D18">
        <v>0</v>
      </c>
      <c r="E18">
        <v>0</v>
      </c>
      <c r="F18">
        <v>1</v>
      </c>
      <c r="G1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8" s="1" t="s">
        <v>29</v>
      </c>
      <c r="I18" s="1" t="s">
        <v>11</v>
      </c>
      <c r="J18" s="1" t="s">
        <v>22</v>
      </c>
      <c r="K18">
        <v>0</v>
      </c>
    </row>
    <row r="19" spans="1:11" x14ac:dyDescent="0.3">
      <c r="A19" s="1" t="s">
        <v>13</v>
      </c>
      <c r="B19">
        <v>56</v>
      </c>
      <c r="C19" t="str" cm="1">
        <f t="array" ref="C19">_xlfn.IFS(
    Dataset[[#This Row],[Age]]&lt;=10, "0-10",
    AND(Dataset[[#This Row],[Age]]&gt;10, Dataset[[#This Row],[Age]]&lt;=18), "11-18",
    AND(Dataset[[#This Row],[Age]]&gt;18, Dataset[[#This Row],[Age]]&lt;=30), "19-30",
    AND(Dataset[[#This Row],[Age]]&gt;30, Dataset[[#This Row],[Age]]&lt;=60), "31-60",
    Dataset[[#This Row],[Age]]&gt;60, "above 60"
)</f>
        <v>31-60</v>
      </c>
      <c r="D19">
        <v>0</v>
      </c>
      <c r="E19">
        <v>0</v>
      </c>
      <c r="F19">
        <v>1</v>
      </c>
      <c r="G1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9" s="1" t="s">
        <v>30</v>
      </c>
      <c r="I19" s="1" t="s">
        <v>15</v>
      </c>
      <c r="J19" s="1" t="s">
        <v>12</v>
      </c>
      <c r="K19">
        <v>0</v>
      </c>
    </row>
    <row r="20" spans="1:11" x14ac:dyDescent="0.3">
      <c r="A20" s="1" t="s">
        <v>13</v>
      </c>
      <c r="B20">
        <v>9</v>
      </c>
      <c r="C20" t="str" cm="1">
        <f t="array" ref="C20">_xlfn.IFS(
    Dataset[[#This Row],[Age]]&lt;=10, "0-10",
    AND(Dataset[[#This Row],[Age]]&gt;10, Dataset[[#This Row],[Age]]&lt;=18), "11-18",
    AND(Dataset[[#This Row],[Age]]&gt;18, Dataset[[#This Row],[Age]]&lt;=30), "19-30",
    AND(Dataset[[#This Row],[Age]]&gt;30, Dataset[[#This Row],[Age]]&lt;=60), "31-60",
    Dataset[[#This Row],[Age]]&gt;60, "above 60"
)</f>
        <v>0-10</v>
      </c>
      <c r="D20">
        <v>1</v>
      </c>
      <c r="E20">
        <v>1</v>
      </c>
      <c r="F20">
        <v>1</v>
      </c>
      <c r="G2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0" s="1" t="s">
        <v>10</v>
      </c>
      <c r="I20" s="1" t="s">
        <v>11</v>
      </c>
      <c r="J20" s="1" t="s">
        <v>22</v>
      </c>
      <c r="K20">
        <v>1</v>
      </c>
    </row>
    <row r="21" spans="1:11" x14ac:dyDescent="0.3">
      <c r="A21" s="1" t="s">
        <v>13</v>
      </c>
      <c r="B21">
        <v>27</v>
      </c>
      <c r="C21" t="str" cm="1">
        <f t="array" ref="C21">_xlfn.IFS(
    Dataset[[#This Row],[Age]]&lt;=10, "0-10",
    AND(Dataset[[#This Row],[Age]]&gt;10, Dataset[[#This Row],[Age]]&lt;=18), "11-18",
    AND(Dataset[[#This Row],[Age]]&gt;18, Dataset[[#This Row],[Age]]&lt;=30), "19-30",
    AND(Dataset[[#This Row],[Age]]&gt;30, Dataset[[#This Row],[Age]]&lt;=60), "31-60",
    Dataset[[#This Row],[Age]]&gt;60, "above 60"
)</f>
        <v>19-30</v>
      </c>
      <c r="D21">
        <v>1</v>
      </c>
      <c r="E21">
        <v>1</v>
      </c>
      <c r="F21">
        <v>0</v>
      </c>
      <c r="G2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1" s="1" t="s">
        <v>10</v>
      </c>
      <c r="I21" s="1" t="s">
        <v>15</v>
      </c>
      <c r="J21" s="1" t="s">
        <v>22</v>
      </c>
      <c r="K21">
        <v>1</v>
      </c>
    </row>
    <row r="22" spans="1:11" x14ac:dyDescent="0.3">
      <c r="A22" s="1" t="s">
        <v>9</v>
      </c>
      <c r="B22">
        <v>31</v>
      </c>
      <c r="C22" t="str" cm="1">
        <f t="array" ref="C22">_xlfn.IFS(
    Dataset[[#This Row],[Age]]&lt;=10, "0-10",
    AND(Dataset[[#This Row],[Age]]&gt;10, Dataset[[#This Row],[Age]]&lt;=18), "11-18",
    AND(Dataset[[#This Row],[Age]]&gt;18, Dataset[[#This Row],[Age]]&lt;=30), "19-30",
    AND(Dataset[[#This Row],[Age]]&gt;30, Dataset[[#This Row],[Age]]&lt;=60), "31-60",
    Dataset[[#This Row],[Age]]&gt;60, "above 60"
)</f>
        <v>31-60</v>
      </c>
      <c r="D22">
        <v>0</v>
      </c>
      <c r="E22">
        <v>1</v>
      </c>
      <c r="F22">
        <v>0</v>
      </c>
      <c r="G2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Low Risk</v>
      </c>
      <c r="H22" s="1" t="s">
        <v>31</v>
      </c>
      <c r="I22" s="1" t="s">
        <v>11</v>
      </c>
      <c r="J22" s="1" t="s">
        <v>22</v>
      </c>
      <c r="K22">
        <v>1</v>
      </c>
    </row>
    <row r="23" spans="1:11" x14ac:dyDescent="0.3">
      <c r="A23" s="1" t="s">
        <v>9</v>
      </c>
      <c r="B23">
        <v>23</v>
      </c>
      <c r="C23" t="str" cm="1">
        <f t="array" ref="C23">_xlfn.IFS(
    Dataset[[#This Row],[Age]]&lt;=10, "0-10",
    AND(Dataset[[#This Row],[Age]]&gt;10, Dataset[[#This Row],[Age]]&lt;=18), "11-18",
    AND(Dataset[[#This Row],[Age]]&gt;18, Dataset[[#This Row],[Age]]&lt;=30), "19-30",
    AND(Dataset[[#This Row],[Age]]&gt;30, Dataset[[#This Row],[Age]]&lt;=60), "31-60",
    Dataset[[#This Row],[Age]]&gt;60, "above 60"
)</f>
        <v>19-30</v>
      </c>
      <c r="D23">
        <v>0</v>
      </c>
      <c r="E23">
        <v>0</v>
      </c>
      <c r="F23">
        <v>0</v>
      </c>
      <c r="G2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3" s="1" t="s">
        <v>32</v>
      </c>
      <c r="I23" s="1" t="s">
        <v>15</v>
      </c>
      <c r="J23" s="1" t="s">
        <v>17</v>
      </c>
      <c r="K23">
        <v>0</v>
      </c>
    </row>
    <row r="24" spans="1:11" x14ac:dyDescent="0.3">
      <c r="A24" s="1" t="s">
        <v>9</v>
      </c>
      <c r="B24">
        <v>37</v>
      </c>
      <c r="C24" t="str" cm="1">
        <f t="array" ref="C24">_xlfn.IFS(
    Dataset[[#This Row],[Age]]&lt;=10, "0-10",
    AND(Dataset[[#This Row],[Age]]&gt;10, Dataset[[#This Row],[Age]]&lt;=18), "11-18",
    AND(Dataset[[#This Row],[Age]]&gt;18, Dataset[[#This Row],[Age]]&lt;=30), "19-30",
    AND(Dataset[[#This Row],[Age]]&gt;30, Dataset[[#This Row],[Age]]&lt;=60), "31-60",
    Dataset[[#This Row],[Age]]&gt;60, "above 60"
)</f>
        <v>31-60</v>
      </c>
      <c r="D24">
        <v>0</v>
      </c>
      <c r="E24">
        <v>0</v>
      </c>
      <c r="F24">
        <v>1</v>
      </c>
      <c r="G2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4" s="1" t="s">
        <v>33</v>
      </c>
      <c r="I24" s="1" t="s">
        <v>11</v>
      </c>
      <c r="J24" s="1" t="s">
        <v>22</v>
      </c>
      <c r="K24">
        <v>0</v>
      </c>
    </row>
    <row r="25" spans="1:11" x14ac:dyDescent="0.3">
      <c r="A25" s="1" t="s">
        <v>13</v>
      </c>
      <c r="B25">
        <v>44</v>
      </c>
      <c r="C25" t="str" cm="1">
        <f t="array" ref="C25">_xlfn.IFS(
    Dataset[[#This Row],[Age]]&lt;=10, "0-10",
    AND(Dataset[[#This Row],[Age]]&gt;10, Dataset[[#This Row],[Age]]&lt;=18), "11-18",
    AND(Dataset[[#This Row],[Age]]&gt;18, Dataset[[#This Row],[Age]]&lt;=30), "19-30",
    AND(Dataset[[#This Row],[Age]]&gt;30, Dataset[[#This Row],[Age]]&lt;=60), "31-60",
    Dataset[[#This Row],[Age]]&gt;60, "above 60"
)</f>
        <v>31-60</v>
      </c>
      <c r="D25">
        <v>0</v>
      </c>
      <c r="E25">
        <v>0</v>
      </c>
      <c r="F25">
        <v>1</v>
      </c>
      <c r="G2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5" s="1" t="s">
        <v>34</v>
      </c>
      <c r="I25" s="1" t="s">
        <v>15</v>
      </c>
      <c r="J25" s="1" t="s">
        <v>17</v>
      </c>
      <c r="K25">
        <v>0</v>
      </c>
    </row>
    <row r="26" spans="1:11" x14ac:dyDescent="0.3">
      <c r="A26" s="1" t="s">
        <v>9</v>
      </c>
      <c r="B26">
        <v>17</v>
      </c>
      <c r="C26" t="str" cm="1">
        <f t="array" ref="C26">_xlfn.IFS(
    Dataset[[#This Row],[Age]]&lt;=10, "0-10",
    AND(Dataset[[#This Row],[Age]]&gt;10, Dataset[[#This Row],[Age]]&lt;=18), "11-18",
    AND(Dataset[[#This Row],[Age]]&gt;18, Dataset[[#This Row],[Age]]&lt;=30), "19-30",
    AND(Dataset[[#This Row],[Age]]&gt;30, Dataset[[#This Row],[Age]]&lt;=60), "31-60",
    Dataset[[#This Row],[Age]]&gt;60, "above 60"
)</f>
        <v>11-18</v>
      </c>
      <c r="D26">
        <v>1</v>
      </c>
      <c r="E26">
        <v>1</v>
      </c>
      <c r="F26">
        <v>0</v>
      </c>
      <c r="G2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6" s="1" t="s">
        <v>25</v>
      </c>
      <c r="I26" s="1" t="s">
        <v>11</v>
      </c>
      <c r="J26" s="1" t="s">
        <v>12</v>
      </c>
      <c r="K26">
        <v>1</v>
      </c>
    </row>
    <row r="27" spans="1:11" x14ac:dyDescent="0.3">
      <c r="A27" s="1" t="s">
        <v>9</v>
      </c>
      <c r="B27">
        <v>64</v>
      </c>
      <c r="C27" t="str" cm="1">
        <f t="array" ref="C27">_xlfn.IFS(
    Dataset[[#This Row],[Age]]&lt;=10, "0-10",
    AND(Dataset[[#This Row],[Age]]&gt;10, Dataset[[#This Row],[Age]]&lt;=18), "11-18",
    AND(Dataset[[#This Row],[Age]]&gt;18, Dataset[[#This Row],[Age]]&lt;=30), "19-30",
    AND(Dataset[[#This Row],[Age]]&gt;30, Dataset[[#This Row],[Age]]&lt;=60), "31-60",
    Dataset[[#This Row],[Age]]&gt;60, "above 60"
)</f>
        <v>above 60</v>
      </c>
      <c r="D27">
        <v>1</v>
      </c>
      <c r="E27">
        <v>1</v>
      </c>
      <c r="F27">
        <v>1</v>
      </c>
      <c r="G2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7" s="1" t="s">
        <v>31</v>
      </c>
      <c r="I27" s="1" t="s">
        <v>15</v>
      </c>
      <c r="J27" s="1" t="s">
        <v>17</v>
      </c>
      <c r="K27">
        <v>1</v>
      </c>
    </row>
    <row r="28" spans="1:11" x14ac:dyDescent="0.3">
      <c r="A28" s="1" t="s">
        <v>9</v>
      </c>
      <c r="B28">
        <v>65</v>
      </c>
      <c r="C28" t="str" cm="1">
        <f t="array" ref="C28">_xlfn.IFS(
    Dataset[[#This Row],[Age]]&lt;=10, "0-10",
    AND(Dataset[[#This Row],[Age]]&gt;10, Dataset[[#This Row],[Age]]&lt;=18), "11-18",
    AND(Dataset[[#This Row],[Age]]&gt;18, Dataset[[#This Row],[Age]]&lt;=30), "19-30",
    AND(Dataset[[#This Row],[Age]]&gt;30, Dataset[[#This Row],[Age]]&lt;=60), "31-60",
    Dataset[[#This Row],[Age]]&gt;60, "above 60"
)</f>
        <v>above 60</v>
      </c>
      <c r="D28">
        <v>0</v>
      </c>
      <c r="E28">
        <v>0</v>
      </c>
      <c r="F28">
        <v>0</v>
      </c>
      <c r="G2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8" s="1" t="s">
        <v>19</v>
      </c>
      <c r="I28" s="1" t="s">
        <v>11</v>
      </c>
      <c r="J28" s="1" t="s">
        <v>22</v>
      </c>
      <c r="K28">
        <v>0</v>
      </c>
    </row>
    <row r="29" spans="1:11" x14ac:dyDescent="0.3">
      <c r="A29" s="1" t="s">
        <v>9</v>
      </c>
      <c r="B29">
        <v>60</v>
      </c>
      <c r="C29" t="str" cm="1">
        <f t="array" ref="C29">_xlfn.IFS(
    Dataset[[#This Row],[Age]]&lt;=10, "0-10",
    AND(Dataset[[#This Row],[Age]]&gt;10, Dataset[[#This Row],[Age]]&lt;=18), "11-18",
    AND(Dataset[[#This Row],[Age]]&gt;18, Dataset[[#This Row],[Age]]&lt;=30), "19-30",
    AND(Dataset[[#This Row],[Age]]&gt;30, Dataset[[#This Row],[Age]]&lt;=60), "31-60",
    Dataset[[#This Row],[Age]]&gt;60, "above 60"
)</f>
        <v>31-60</v>
      </c>
      <c r="D29">
        <v>0</v>
      </c>
      <c r="E29">
        <v>0</v>
      </c>
      <c r="F29">
        <v>0</v>
      </c>
      <c r="G2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9" s="1" t="s">
        <v>25</v>
      </c>
      <c r="I29" s="1" t="s">
        <v>15</v>
      </c>
      <c r="J29" s="1" t="s">
        <v>17</v>
      </c>
      <c r="K29">
        <v>0</v>
      </c>
    </row>
    <row r="30" spans="1:11" x14ac:dyDescent="0.3">
      <c r="A30" s="1" t="s">
        <v>9</v>
      </c>
      <c r="B30">
        <v>44</v>
      </c>
      <c r="C30" t="str" cm="1">
        <f t="array" ref="C30">_xlfn.IFS(
    Dataset[[#This Row],[Age]]&lt;=10, "0-10",
    AND(Dataset[[#This Row],[Age]]&gt;10, Dataset[[#This Row],[Age]]&lt;=18), "11-18",
    AND(Dataset[[#This Row],[Age]]&gt;18, Dataset[[#This Row],[Age]]&lt;=30), "19-30",
    AND(Dataset[[#This Row],[Age]]&gt;30, Dataset[[#This Row],[Age]]&lt;=60), "31-60",
    Dataset[[#This Row],[Age]]&gt;60, "above 60"
)</f>
        <v>31-60</v>
      </c>
      <c r="D30">
        <v>1</v>
      </c>
      <c r="E30">
        <v>1</v>
      </c>
      <c r="F30">
        <v>1</v>
      </c>
      <c r="G3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0" s="1" t="s">
        <v>24</v>
      </c>
      <c r="I30" s="1" t="s">
        <v>11</v>
      </c>
      <c r="J30" s="1" t="s">
        <v>22</v>
      </c>
      <c r="K30">
        <v>1</v>
      </c>
    </row>
    <row r="31" spans="1:11" x14ac:dyDescent="0.3">
      <c r="A31" s="1" t="s">
        <v>9</v>
      </c>
      <c r="B31">
        <v>13</v>
      </c>
      <c r="C31" t="str" cm="1">
        <f t="array" ref="C31">_xlfn.IFS(
    Dataset[[#This Row],[Age]]&lt;=10, "0-10",
    AND(Dataset[[#This Row],[Age]]&gt;10, Dataset[[#This Row],[Age]]&lt;=18), "11-18",
    AND(Dataset[[#This Row],[Age]]&gt;18, Dataset[[#This Row],[Age]]&lt;=30), "19-30",
    AND(Dataset[[#This Row],[Age]]&gt;30, Dataset[[#This Row],[Age]]&lt;=60), "31-60",
    Dataset[[#This Row],[Age]]&gt;60, "above 60"
)</f>
        <v>11-18</v>
      </c>
      <c r="D31">
        <v>0</v>
      </c>
      <c r="E31">
        <v>1</v>
      </c>
      <c r="F31">
        <v>0</v>
      </c>
      <c r="G3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Low Risk</v>
      </c>
      <c r="H31" s="1" t="s">
        <v>26</v>
      </c>
      <c r="I31" s="1" t="s">
        <v>15</v>
      </c>
      <c r="J31" s="1" t="s">
        <v>12</v>
      </c>
      <c r="K31">
        <v>1</v>
      </c>
    </row>
    <row r="32" spans="1:11" x14ac:dyDescent="0.3">
      <c r="A32" s="1" t="s">
        <v>9</v>
      </c>
      <c r="B32">
        <v>35</v>
      </c>
      <c r="C32" t="str" cm="1">
        <f t="array" ref="C32">_xlfn.IFS(
    Dataset[[#This Row],[Age]]&lt;=10, "0-10",
    AND(Dataset[[#This Row],[Age]]&gt;10, Dataset[[#This Row],[Age]]&lt;=18), "11-18",
    AND(Dataset[[#This Row],[Age]]&gt;18, Dataset[[#This Row],[Age]]&lt;=30), "19-30",
    AND(Dataset[[#This Row],[Age]]&gt;30, Dataset[[#This Row],[Age]]&lt;=60), "31-60",
    Dataset[[#This Row],[Age]]&gt;60, "above 60"
)</f>
        <v>31-60</v>
      </c>
      <c r="D32">
        <v>0</v>
      </c>
      <c r="E32">
        <v>0</v>
      </c>
      <c r="F32">
        <v>0</v>
      </c>
      <c r="G3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2" s="1" t="s">
        <v>35</v>
      </c>
      <c r="I32" s="1" t="s">
        <v>11</v>
      </c>
      <c r="J32" s="1" t="s">
        <v>12</v>
      </c>
      <c r="K32">
        <v>0</v>
      </c>
    </row>
    <row r="33" spans="1:11" x14ac:dyDescent="0.3">
      <c r="A33" s="1" t="s">
        <v>13</v>
      </c>
      <c r="B33">
        <v>13</v>
      </c>
      <c r="C33" t="str" cm="1">
        <f t="array" ref="C33">_xlfn.IFS(
    Dataset[[#This Row],[Age]]&lt;=10, "0-10",
    AND(Dataset[[#This Row],[Age]]&gt;10, Dataset[[#This Row],[Age]]&lt;=18), "11-18",
    AND(Dataset[[#This Row],[Age]]&gt;18, Dataset[[#This Row],[Age]]&lt;=30), "19-30",
    AND(Dataset[[#This Row],[Age]]&gt;30, Dataset[[#This Row],[Age]]&lt;=60), "31-60",
    Dataset[[#This Row],[Age]]&gt;60, "above 60"
)</f>
        <v>11-18</v>
      </c>
      <c r="D33">
        <v>1</v>
      </c>
      <c r="E33">
        <v>1</v>
      </c>
      <c r="F33">
        <v>1</v>
      </c>
      <c r="G3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3" s="1" t="s">
        <v>31</v>
      </c>
      <c r="I33" s="1" t="s">
        <v>15</v>
      </c>
      <c r="J33" s="1" t="s">
        <v>22</v>
      </c>
      <c r="K33">
        <v>1</v>
      </c>
    </row>
    <row r="34" spans="1:11" x14ac:dyDescent="0.3">
      <c r="A34" s="1" t="s">
        <v>9</v>
      </c>
      <c r="B34">
        <v>39</v>
      </c>
      <c r="C34" t="str" cm="1">
        <f t="array" ref="C34">_xlfn.IFS(
    Dataset[[#This Row],[Age]]&lt;=10, "0-10",
    AND(Dataset[[#This Row],[Age]]&gt;10, Dataset[[#This Row],[Age]]&lt;=18), "11-18",
    AND(Dataset[[#This Row],[Age]]&gt;18, Dataset[[#This Row],[Age]]&lt;=30), "19-30",
    AND(Dataset[[#This Row],[Age]]&gt;30, Dataset[[#This Row],[Age]]&lt;=60), "31-60",
    Dataset[[#This Row],[Age]]&gt;60, "above 60"
)</f>
        <v>31-60</v>
      </c>
      <c r="D34">
        <v>0</v>
      </c>
      <c r="E34">
        <v>0</v>
      </c>
      <c r="F34">
        <v>1</v>
      </c>
      <c r="G3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4" s="1" t="s">
        <v>36</v>
      </c>
      <c r="I34" s="1" t="s">
        <v>11</v>
      </c>
      <c r="J34" s="1" t="s">
        <v>12</v>
      </c>
      <c r="K34">
        <v>0</v>
      </c>
    </row>
    <row r="35" spans="1:11" x14ac:dyDescent="0.3">
      <c r="A35" s="1" t="s">
        <v>9</v>
      </c>
      <c r="B35">
        <v>27</v>
      </c>
      <c r="C35" t="str" cm="1">
        <f t="array" ref="C35">_xlfn.IFS(
    Dataset[[#This Row],[Age]]&lt;=10, "0-10",
    AND(Dataset[[#This Row],[Age]]&gt;10, Dataset[[#This Row],[Age]]&lt;=18), "11-18",
    AND(Dataset[[#This Row],[Age]]&gt;18, Dataset[[#This Row],[Age]]&lt;=30), "19-30",
    AND(Dataset[[#This Row],[Age]]&gt;30, Dataset[[#This Row],[Age]]&lt;=60), "31-60",
    Dataset[[#This Row],[Age]]&gt;60, "above 60"
)</f>
        <v>19-30</v>
      </c>
      <c r="D35">
        <v>0</v>
      </c>
      <c r="E35">
        <v>0</v>
      </c>
      <c r="F35">
        <v>1</v>
      </c>
      <c r="G3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5" s="1" t="s">
        <v>37</v>
      </c>
      <c r="I35" s="1" t="s">
        <v>15</v>
      </c>
      <c r="J35" s="1" t="s">
        <v>17</v>
      </c>
      <c r="K35">
        <v>0</v>
      </c>
    </row>
    <row r="36" spans="1:11" x14ac:dyDescent="0.3">
      <c r="A36" s="1" t="s">
        <v>13</v>
      </c>
      <c r="B36">
        <v>11</v>
      </c>
      <c r="C36" t="str" cm="1">
        <f t="array" ref="C36">_xlfn.IFS(
    Dataset[[#This Row],[Age]]&lt;=10, "0-10",
    AND(Dataset[[#This Row],[Age]]&gt;10, Dataset[[#This Row],[Age]]&lt;=18), "11-18",
    AND(Dataset[[#This Row],[Age]]&gt;18, Dataset[[#This Row],[Age]]&lt;=30), "19-30",
    AND(Dataset[[#This Row],[Age]]&gt;30, Dataset[[#This Row],[Age]]&lt;=60), "31-60",
    Dataset[[#This Row],[Age]]&gt;60, "above 60"
)</f>
        <v>11-18</v>
      </c>
      <c r="D36">
        <v>1</v>
      </c>
      <c r="E36">
        <v>1</v>
      </c>
      <c r="F36">
        <v>1</v>
      </c>
      <c r="G3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6" s="1" t="s">
        <v>38</v>
      </c>
      <c r="I36" s="1" t="s">
        <v>11</v>
      </c>
      <c r="J36" s="1" t="s">
        <v>22</v>
      </c>
      <c r="K36">
        <v>1</v>
      </c>
    </row>
    <row r="37" spans="1:11" x14ac:dyDescent="0.3">
      <c r="A37" s="1" t="s">
        <v>9</v>
      </c>
      <c r="B37">
        <v>46</v>
      </c>
      <c r="C37" t="str" cm="1">
        <f t="array" ref="C37">_xlfn.IFS(
    Dataset[[#This Row],[Age]]&lt;=10, "0-10",
    AND(Dataset[[#This Row],[Age]]&gt;10, Dataset[[#This Row],[Age]]&lt;=18), "11-18",
    AND(Dataset[[#This Row],[Age]]&gt;18, Dataset[[#This Row],[Age]]&lt;=30), "19-30",
    AND(Dataset[[#This Row],[Age]]&gt;30, Dataset[[#This Row],[Age]]&lt;=60), "31-60",
    Dataset[[#This Row],[Age]]&gt;60, "above 60"
)</f>
        <v>31-60</v>
      </c>
      <c r="D37">
        <v>1</v>
      </c>
      <c r="E37">
        <v>1</v>
      </c>
      <c r="F37">
        <v>1</v>
      </c>
      <c r="G3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7" s="1" t="s">
        <v>35</v>
      </c>
      <c r="I37" s="1" t="s">
        <v>15</v>
      </c>
      <c r="J37" s="1" t="s">
        <v>17</v>
      </c>
      <c r="K37">
        <v>1</v>
      </c>
    </row>
    <row r="38" spans="1:11" x14ac:dyDescent="0.3">
      <c r="A38" s="1" t="s">
        <v>13</v>
      </c>
      <c r="B38">
        <v>10</v>
      </c>
      <c r="C38" t="str" cm="1">
        <f t="array" ref="C38">_xlfn.IFS(
    Dataset[[#This Row],[Age]]&lt;=10, "0-10",
    AND(Dataset[[#This Row],[Age]]&gt;10, Dataset[[#This Row],[Age]]&lt;=18), "11-18",
    AND(Dataset[[#This Row],[Age]]&gt;18, Dataset[[#This Row],[Age]]&lt;=30), "19-30",
    AND(Dataset[[#This Row],[Age]]&gt;30, Dataset[[#This Row],[Age]]&lt;=60), "31-60",
    Dataset[[#This Row],[Age]]&gt;60, "above 60"
)</f>
        <v>0-10</v>
      </c>
      <c r="D38">
        <v>1</v>
      </c>
      <c r="E38">
        <v>1</v>
      </c>
      <c r="F38">
        <v>0</v>
      </c>
      <c r="G3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8" s="1" t="s">
        <v>39</v>
      </c>
      <c r="I38" s="1" t="s">
        <v>11</v>
      </c>
      <c r="J38" s="1" t="s">
        <v>22</v>
      </c>
      <c r="K38">
        <v>1</v>
      </c>
    </row>
    <row r="39" spans="1:11" x14ac:dyDescent="0.3">
      <c r="A39" s="1" t="s">
        <v>9</v>
      </c>
      <c r="B39">
        <v>13</v>
      </c>
      <c r="C39" t="str" cm="1">
        <f t="array" ref="C39">_xlfn.IFS(
    Dataset[[#This Row],[Age]]&lt;=10, "0-10",
    AND(Dataset[[#This Row],[Age]]&gt;10, Dataset[[#This Row],[Age]]&lt;=18), "11-18",
    AND(Dataset[[#This Row],[Age]]&gt;18, Dataset[[#This Row],[Age]]&lt;=30), "19-30",
    AND(Dataset[[#This Row],[Age]]&gt;30, Dataset[[#This Row],[Age]]&lt;=60), "31-60",
    Dataset[[#This Row],[Age]]&gt;60, "above 60"
)</f>
        <v>11-18</v>
      </c>
      <c r="D39">
        <v>0</v>
      </c>
      <c r="E39">
        <v>0</v>
      </c>
      <c r="F39">
        <v>1</v>
      </c>
      <c r="G3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9" s="1" t="s">
        <v>40</v>
      </c>
      <c r="I39" s="1" t="s">
        <v>15</v>
      </c>
      <c r="J39" s="1" t="s">
        <v>12</v>
      </c>
      <c r="K39">
        <v>0</v>
      </c>
    </row>
    <row r="40" spans="1:11" x14ac:dyDescent="0.3">
      <c r="A40" s="1" t="s">
        <v>13</v>
      </c>
      <c r="B40">
        <v>50</v>
      </c>
      <c r="C40" t="str" cm="1">
        <f t="array" ref="C40">_xlfn.IFS(
    Dataset[[#This Row],[Age]]&lt;=10, "0-10",
    AND(Dataset[[#This Row],[Age]]&gt;10, Dataset[[#This Row],[Age]]&lt;=18), "11-18",
    AND(Dataset[[#This Row],[Age]]&gt;18, Dataset[[#This Row],[Age]]&lt;=30), "19-30",
    AND(Dataset[[#This Row],[Age]]&gt;30, Dataset[[#This Row],[Age]]&lt;=60), "31-60",
    Dataset[[#This Row],[Age]]&gt;60, "above 60"
)</f>
        <v>31-60</v>
      </c>
      <c r="D40">
        <v>0</v>
      </c>
      <c r="E40">
        <v>1</v>
      </c>
      <c r="F40">
        <v>0</v>
      </c>
      <c r="G4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Low Risk</v>
      </c>
      <c r="H40" s="1" t="s">
        <v>38</v>
      </c>
      <c r="I40" s="1" t="s">
        <v>11</v>
      </c>
      <c r="J40" s="1" t="s">
        <v>17</v>
      </c>
      <c r="K40">
        <v>1</v>
      </c>
    </row>
    <row r="41" spans="1:11" x14ac:dyDescent="0.3">
      <c r="A41" s="1" t="s">
        <v>13</v>
      </c>
      <c r="B41">
        <v>34</v>
      </c>
      <c r="C41" t="str" cm="1">
        <f t="array" ref="C41">_xlfn.IFS(
    Dataset[[#This Row],[Age]]&lt;=10, "0-10",
    AND(Dataset[[#This Row],[Age]]&gt;10, Dataset[[#This Row],[Age]]&lt;=18), "11-18",
    AND(Dataset[[#This Row],[Age]]&gt;18, Dataset[[#This Row],[Age]]&lt;=30), "19-30",
    AND(Dataset[[#This Row],[Age]]&gt;30, Dataset[[#This Row],[Age]]&lt;=60), "31-60",
    Dataset[[#This Row],[Age]]&gt;60, "above 60"
)</f>
        <v>31-60</v>
      </c>
      <c r="D41">
        <v>1</v>
      </c>
      <c r="E41">
        <v>1</v>
      </c>
      <c r="F41">
        <v>0</v>
      </c>
      <c r="G4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1" s="1" t="s">
        <v>10</v>
      </c>
      <c r="I41" s="1" t="s">
        <v>15</v>
      </c>
      <c r="J41" s="1" t="s">
        <v>17</v>
      </c>
      <c r="K41">
        <v>1</v>
      </c>
    </row>
    <row r="42" spans="1:11" x14ac:dyDescent="0.3">
      <c r="A42" s="1" t="s">
        <v>9</v>
      </c>
      <c r="B42">
        <v>54</v>
      </c>
      <c r="C42" t="str" cm="1">
        <f t="array" ref="C42">_xlfn.IFS(
    Dataset[[#This Row],[Age]]&lt;=10, "0-10",
    AND(Dataset[[#This Row],[Age]]&gt;10, Dataset[[#This Row],[Age]]&lt;=18), "11-18",
    AND(Dataset[[#This Row],[Age]]&gt;18, Dataset[[#This Row],[Age]]&lt;=30), "19-30",
    AND(Dataset[[#This Row],[Age]]&gt;30, Dataset[[#This Row],[Age]]&lt;=60), "31-60",
    Dataset[[#This Row],[Age]]&gt;60, "above 60"
)</f>
        <v>31-60</v>
      </c>
      <c r="D42">
        <v>0</v>
      </c>
      <c r="E42">
        <v>0</v>
      </c>
      <c r="F42">
        <v>1</v>
      </c>
      <c r="G4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2" s="1" t="s">
        <v>29</v>
      </c>
      <c r="I42" s="1" t="s">
        <v>11</v>
      </c>
      <c r="J42" s="1" t="s">
        <v>22</v>
      </c>
      <c r="K42">
        <v>0</v>
      </c>
    </row>
    <row r="43" spans="1:11" x14ac:dyDescent="0.3">
      <c r="A43" s="1" t="s">
        <v>9</v>
      </c>
      <c r="B43">
        <v>16</v>
      </c>
      <c r="C43" t="str" cm="1">
        <f t="array" ref="C43">_xlfn.IFS(
    Dataset[[#This Row],[Age]]&lt;=10, "0-10",
    AND(Dataset[[#This Row],[Age]]&gt;10, Dataset[[#This Row],[Age]]&lt;=18), "11-18",
    AND(Dataset[[#This Row],[Age]]&gt;18, Dataset[[#This Row],[Age]]&lt;=30), "19-30",
    AND(Dataset[[#This Row],[Age]]&gt;30, Dataset[[#This Row],[Age]]&lt;=60), "31-60",
    Dataset[[#This Row],[Age]]&gt;60, "above 60"
)</f>
        <v>11-18</v>
      </c>
      <c r="D43">
        <v>0</v>
      </c>
      <c r="E43">
        <v>0</v>
      </c>
      <c r="F43">
        <v>1</v>
      </c>
      <c r="G4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3" s="1" t="s">
        <v>35</v>
      </c>
      <c r="I43" s="1" t="s">
        <v>15</v>
      </c>
      <c r="J43" s="1" t="s">
        <v>17</v>
      </c>
      <c r="K43">
        <v>0</v>
      </c>
    </row>
    <row r="44" spans="1:11" x14ac:dyDescent="0.3">
      <c r="A44" s="1" t="s">
        <v>13</v>
      </c>
      <c r="B44">
        <v>51</v>
      </c>
      <c r="C44" t="str" cm="1">
        <f t="array" ref="C44">_xlfn.IFS(
    Dataset[[#This Row],[Age]]&lt;=10, "0-10",
    AND(Dataset[[#This Row],[Age]]&gt;10, Dataset[[#This Row],[Age]]&lt;=18), "11-18",
    AND(Dataset[[#This Row],[Age]]&gt;18, Dataset[[#This Row],[Age]]&lt;=30), "19-30",
    AND(Dataset[[#This Row],[Age]]&gt;30, Dataset[[#This Row],[Age]]&lt;=60), "31-60",
    Dataset[[#This Row],[Age]]&gt;60, "above 60"
)</f>
        <v>31-60</v>
      </c>
      <c r="D44">
        <v>1</v>
      </c>
      <c r="E44">
        <v>1</v>
      </c>
      <c r="F44">
        <v>0</v>
      </c>
      <c r="G4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4" s="1" t="s">
        <v>37</v>
      </c>
      <c r="I44" s="1" t="s">
        <v>11</v>
      </c>
      <c r="J44" s="1" t="s">
        <v>22</v>
      </c>
      <c r="K44">
        <v>1</v>
      </c>
    </row>
    <row r="45" spans="1:11" x14ac:dyDescent="0.3">
      <c r="A45" s="1" t="s">
        <v>9</v>
      </c>
      <c r="B45">
        <v>9</v>
      </c>
      <c r="C45" t="str" cm="1">
        <f t="array" ref="C45">_xlfn.IFS(
    Dataset[[#This Row],[Age]]&lt;=10, "0-10",
    AND(Dataset[[#This Row],[Age]]&gt;10, Dataset[[#This Row],[Age]]&lt;=18), "11-18",
    AND(Dataset[[#This Row],[Age]]&gt;18, Dataset[[#This Row],[Age]]&lt;=30), "19-30",
    AND(Dataset[[#This Row],[Age]]&gt;30, Dataset[[#This Row],[Age]]&lt;=60), "31-60",
    Dataset[[#This Row],[Age]]&gt;60, "above 60"
)</f>
        <v>0-10</v>
      </c>
      <c r="D45">
        <v>1</v>
      </c>
      <c r="E45">
        <v>1</v>
      </c>
      <c r="F45">
        <v>1</v>
      </c>
      <c r="G4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5" s="1" t="s">
        <v>41</v>
      </c>
      <c r="I45" s="1" t="s">
        <v>15</v>
      </c>
      <c r="J45" s="1" t="s">
        <v>22</v>
      </c>
      <c r="K45">
        <v>1</v>
      </c>
    </row>
    <row r="46" spans="1:11" x14ac:dyDescent="0.3">
      <c r="A46" s="1" t="s">
        <v>9</v>
      </c>
      <c r="B46">
        <v>37</v>
      </c>
      <c r="C46" t="str" cm="1">
        <f t="array" ref="C46">_xlfn.IFS(
    Dataset[[#This Row],[Age]]&lt;=10, "0-10",
    AND(Dataset[[#This Row],[Age]]&gt;10, Dataset[[#This Row],[Age]]&lt;=18), "11-18",
    AND(Dataset[[#This Row],[Age]]&gt;18, Dataset[[#This Row],[Age]]&lt;=30), "19-30",
    AND(Dataset[[#This Row],[Age]]&gt;30, Dataset[[#This Row],[Age]]&lt;=60), "31-60",
    Dataset[[#This Row],[Age]]&gt;60, "above 60"
)</f>
        <v>31-60</v>
      </c>
      <c r="D46">
        <v>0</v>
      </c>
      <c r="E46">
        <v>0</v>
      </c>
      <c r="F46">
        <v>0</v>
      </c>
      <c r="G4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6" s="1" t="s">
        <v>42</v>
      </c>
      <c r="I46" s="1" t="s">
        <v>11</v>
      </c>
      <c r="J46" s="1" t="s">
        <v>12</v>
      </c>
      <c r="K46">
        <v>0</v>
      </c>
    </row>
    <row r="47" spans="1:11" x14ac:dyDescent="0.3">
      <c r="A47" s="1" t="s">
        <v>9</v>
      </c>
      <c r="B47">
        <v>13</v>
      </c>
      <c r="C47" t="str" cm="1">
        <f t="array" ref="C47">_xlfn.IFS(
    Dataset[[#This Row],[Age]]&lt;=10, "0-10",
    AND(Dataset[[#This Row],[Age]]&gt;10, Dataset[[#This Row],[Age]]&lt;=18), "11-18",
    AND(Dataset[[#This Row],[Age]]&gt;18, Dataset[[#This Row],[Age]]&lt;=30), "19-30",
    AND(Dataset[[#This Row],[Age]]&gt;30, Dataset[[#This Row],[Age]]&lt;=60), "31-60",
    Dataset[[#This Row],[Age]]&gt;60, "above 60"
)</f>
        <v>11-18</v>
      </c>
      <c r="D47">
        <v>0</v>
      </c>
      <c r="E47">
        <v>0</v>
      </c>
      <c r="F47">
        <v>0</v>
      </c>
      <c r="G4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7" s="1" t="s">
        <v>43</v>
      </c>
      <c r="I47" s="1" t="s">
        <v>15</v>
      </c>
      <c r="J47" s="1" t="s">
        <v>22</v>
      </c>
      <c r="K47">
        <v>0</v>
      </c>
    </row>
    <row r="48" spans="1:11" x14ac:dyDescent="0.3">
      <c r="A48" s="1" t="s">
        <v>13</v>
      </c>
      <c r="B48">
        <v>62</v>
      </c>
      <c r="C48" t="str" cm="1">
        <f t="array" ref="C48">_xlfn.IFS(
    Dataset[[#This Row],[Age]]&lt;=10, "0-10",
    AND(Dataset[[#This Row],[Age]]&gt;10, Dataset[[#This Row],[Age]]&lt;=18), "11-18",
    AND(Dataset[[#This Row],[Age]]&gt;18, Dataset[[#This Row],[Age]]&lt;=30), "19-30",
    AND(Dataset[[#This Row],[Age]]&gt;30, Dataset[[#This Row],[Age]]&lt;=60), "31-60",
    Dataset[[#This Row],[Age]]&gt;60, "above 60"
)</f>
        <v>above 60</v>
      </c>
      <c r="D48">
        <v>0</v>
      </c>
      <c r="E48">
        <v>1</v>
      </c>
      <c r="F48">
        <v>0</v>
      </c>
      <c r="G4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Low Risk</v>
      </c>
      <c r="H48" s="1" t="s">
        <v>38</v>
      </c>
      <c r="I48" s="1" t="s">
        <v>11</v>
      </c>
      <c r="J48" s="1" t="s">
        <v>22</v>
      </c>
      <c r="K48">
        <v>1</v>
      </c>
    </row>
    <row r="49" spans="1:11" x14ac:dyDescent="0.3">
      <c r="A49" s="1" t="s">
        <v>13</v>
      </c>
      <c r="B49">
        <v>17</v>
      </c>
      <c r="C49" t="str" cm="1">
        <f t="array" ref="C49">_xlfn.IFS(
    Dataset[[#This Row],[Age]]&lt;=10, "0-10",
    AND(Dataset[[#This Row],[Age]]&gt;10, Dataset[[#This Row],[Age]]&lt;=18), "11-18",
    AND(Dataset[[#This Row],[Age]]&gt;18, Dataset[[#This Row],[Age]]&lt;=30), "19-30",
    AND(Dataset[[#This Row],[Age]]&gt;30, Dataset[[#This Row],[Age]]&lt;=60), "31-60",
    Dataset[[#This Row],[Age]]&gt;60, "above 60"
)</f>
        <v>11-18</v>
      </c>
      <c r="D49">
        <v>0</v>
      </c>
      <c r="E49">
        <v>0</v>
      </c>
      <c r="F49">
        <v>1</v>
      </c>
      <c r="G4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9" s="1" t="s">
        <v>35</v>
      </c>
      <c r="I49" s="1" t="s">
        <v>15</v>
      </c>
      <c r="J49" s="1" t="s">
        <v>12</v>
      </c>
      <c r="K49">
        <v>0</v>
      </c>
    </row>
    <row r="50" spans="1:11" x14ac:dyDescent="0.3">
      <c r="A50" s="1" t="s">
        <v>9</v>
      </c>
      <c r="B50">
        <v>35</v>
      </c>
      <c r="C50" t="str" cm="1">
        <f t="array" ref="C50">_xlfn.IFS(
    Dataset[[#This Row],[Age]]&lt;=10, "0-10",
    AND(Dataset[[#This Row],[Age]]&gt;10, Dataset[[#This Row],[Age]]&lt;=18), "11-18",
    AND(Dataset[[#This Row],[Age]]&gt;18, Dataset[[#This Row],[Age]]&lt;=30), "19-30",
    AND(Dataset[[#This Row],[Age]]&gt;30, Dataset[[#This Row],[Age]]&lt;=60), "31-60",
    Dataset[[#This Row],[Age]]&gt;60, "above 60"
)</f>
        <v>31-60</v>
      </c>
      <c r="D50">
        <v>0</v>
      </c>
      <c r="E50">
        <v>0</v>
      </c>
      <c r="F50">
        <v>1</v>
      </c>
      <c r="G5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0" s="1" t="s">
        <v>30</v>
      </c>
      <c r="I50" s="1" t="s">
        <v>11</v>
      </c>
      <c r="J50" s="1" t="s">
        <v>22</v>
      </c>
      <c r="K50">
        <v>0</v>
      </c>
    </row>
    <row r="51" spans="1:11" x14ac:dyDescent="0.3">
      <c r="A51" s="1" t="s">
        <v>13</v>
      </c>
      <c r="B51">
        <v>9</v>
      </c>
      <c r="C51" t="str" cm="1">
        <f t="array" ref="C51">_xlfn.IFS(
    Dataset[[#This Row],[Age]]&lt;=10, "0-10",
    AND(Dataset[[#This Row],[Age]]&gt;10, Dataset[[#This Row],[Age]]&lt;=18), "11-18",
    AND(Dataset[[#This Row],[Age]]&gt;18, Dataset[[#This Row],[Age]]&lt;=30), "19-30",
    AND(Dataset[[#This Row],[Age]]&gt;30, Dataset[[#This Row],[Age]]&lt;=60), "31-60",
    Dataset[[#This Row],[Age]]&gt;60, "above 60"
)</f>
        <v>0-10</v>
      </c>
      <c r="D51">
        <v>1</v>
      </c>
      <c r="E51">
        <v>1</v>
      </c>
      <c r="F51">
        <v>0</v>
      </c>
      <c r="G5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1" s="1" t="s">
        <v>44</v>
      </c>
      <c r="I51" s="1" t="s">
        <v>15</v>
      </c>
      <c r="J51" s="1" t="s">
        <v>22</v>
      </c>
      <c r="K51">
        <v>1</v>
      </c>
    </row>
    <row r="52" spans="1:11" x14ac:dyDescent="0.3">
      <c r="A52" s="1" t="s">
        <v>13</v>
      </c>
      <c r="B52">
        <v>14</v>
      </c>
      <c r="C52" t="str" cm="1">
        <f t="array" ref="C52">_xlfn.IFS(
    Dataset[[#This Row],[Age]]&lt;=10, "0-10",
    AND(Dataset[[#This Row],[Age]]&gt;10, Dataset[[#This Row],[Age]]&lt;=18), "11-18",
    AND(Dataset[[#This Row],[Age]]&gt;18, Dataset[[#This Row],[Age]]&lt;=30), "19-30",
    AND(Dataset[[#This Row],[Age]]&gt;30, Dataset[[#This Row],[Age]]&lt;=60), "31-60",
    Dataset[[#This Row],[Age]]&gt;60, "above 60"
)</f>
        <v>11-18</v>
      </c>
      <c r="D52">
        <v>1</v>
      </c>
      <c r="E52">
        <v>1</v>
      </c>
      <c r="F52">
        <v>0</v>
      </c>
      <c r="G5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2" s="1" t="s">
        <v>31</v>
      </c>
      <c r="I52" s="1" t="s">
        <v>11</v>
      </c>
      <c r="J52" s="1" t="s">
        <v>22</v>
      </c>
      <c r="K52">
        <v>1</v>
      </c>
    </row>
    <row r="53" spans="1:11" x14ac:dyDescent="0.3">
      <c r="A53" s="1" t="s">
        <v>13</v>
      </c>
      <c r="B53">
        <v>37</v>
      </c>
      <c r="C53" t="str" cm="1">
        <f t="array" ref="C53">_xlfn.IFS(
    Dataset[[#This Row],[Age]]&lt;=10, "0-10",
    AND(Dataset[[#This Row],[Age]]&gt;10, Dataset[[#This Row],[Age]]&lt;=18), "11-18",
    AND(Dataset[[#This Row],[Age]]&gt;18, Dataset[[#This Row],[Age]]&lt;=30), "19-30",
    AND(Dataset[[#This Row],[Age]]&gt;30, Dataset[[#This Row],[Age]]&lt;=60), "31-60",
    Dataset[[#This Row],[Age]]&gt;60, "above 60"
)</f>
        <v>31-60</v>
      </c>
      <c r="D53">
        <v>0</v>
      </c>
      <c r="E53">
        <v>0</v>
      </c>
      <c r="F53">
        <v>0</v>
      </c>
      <c r="G5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3" s="1" t="s">
        <v>29</v>
      </c>
      <c r="I53" s="1" t="s">
        <v>15</v>
      </c>
      <c r="J53" s="1" t="s">
        <v>22</v>
      </c>
      <c r="K53">
        <v>0</v>
      </c>
    </row>
    <row r="54" spans="1:11" x14ac:dyDescent="0.3">
      <c r="A54" s="1" t="s">
        <v>13</v>
      </c>
      <c r="B54">
        <v>13</v>
      </c>
      <c r="C54" t="str" cm="1">
        <f t="array" ref="C54">_xlfn.IFS(
    Dataset[[#This Row],[Age]]&lt;=10, "0-10",
    AND(Dataset[[#This Row],[Age]]&gt;10, Dataset[[#This Row],[Age]]&lt;=18), "11-18",
    AND(Dataset[[#This Row],[Age]]&gt;18, Dataset[[#This Row],[Age]]&lt;=30), "19-30",
    AND(Dataset[[#This Row],[Age]]&gt;30, Dataset[[#This Row],[Age]]&lt;=60), "31-60",
    Dataset[[#This Row],[Age]]&gt;60, "above 60"
)</f>
        <v>11-18</v>
      </c>
      <c r="D54">
        <v>0</v>
      </c>
      <c r="E54">
        <v>0</v>
      </c>
      <c r="F54">
        <v>0</v>
      </c>
      <c r="G5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4" s="1" t="s">
        <v>45</v>
      </c>
      <c r="I54" s="1" t="s">
        <v>11</v>
      </c>
      <c r="J54" s="1" t="s">
        <v>17</v>
      </c>
      <c r="K54">
        <v>0</v>
      </c>
    </row>
    <row r="55" spans="1:11" x14ac:dyDescent="0.3">
      <c r="A55" s="1" t="s">
        <v>13</v>
      </c>
      <c r="B55">
        <v>57</v>
      </c>
      <c r="C55" t="str" cm="1">
        <f t="array" ref="C55">_xlfn.IFS(
    Dataset[[#This Row],[Age]]&lt;=10, "0-10",
    AND(Dataset[[#This Row],[Age]]&gt;10, Dataset[[#This Row],[Age]]&lt;=18), "11-18",
    AND(Dataset[[#This Row],[Age]]&gt;18, Dataset[[#This Row],[Age]]&lt;=30), "19-30",
    AND(Dataset[[#This Row],[Age]]&gt;30, Dataset[[#This Row],[Age]]&lt;=60), "31-60",
    Dataset[[#This Row],[Age]]&gt;60, "above 60"
)</f>
        <v>31-60</v>
      </c>
      <c r="D55">
        <v>0</v>
      </c>
      <c r="E55">
        <v>0</v>
      </c>
      <c r="F55">
        <v>0</v>
      </c>
      <c r="G5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5" s="1" t="s">
        <v>28</v>
      </c>
      <c r="I55" s="1" t="s">
        <v>15</v>
      </c>
      <c r="J55" s="1" t="s">
        <v>12</v>
      </c>
      <c r="K55">
        <v>0</v>
      </c>
    </row>
    <row r="56" spans="1:11" x14ac:dyDescent="0.3">
      <c r="A56" s="1" t="s">
        <v>9</v>
      </c>
      <c r="B56">
        <v>41</v>
      </c>
      <c r="C56" t="str" cm="1">
        <f t="array" ref="C56">_xlfn.IFS(
    Dataset[[#This Row],[Age]]&lt;=10, "0-10",
    AND(Dataset[[#This Row],[Age]]&gt;10, Dataset[[#This Row],[Age]]&lt;=18), "11-18",
    AND(Dataset[[#This Row],[Age]]&gt;18, Dataset[[#This Row],[Age]]&lt;=30), "19-30",
    AND(Dataset[[#This Row],[Age]]&gt;30, Dataset[[#This Row],[Age]]&lt;=60), "31-60",
    Dataset[[#This Row],[Age]]&gt;60, "above 60"
)</f>
        <v>31-60</v>
      </c>
      <c r="D56">
        <v>0</v>
      </c>
      <c r="E56">
        <v>0</v>
      </c>
      <c r="F56">
        <v>0</v>
      </c>
      <c r="G5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6" s="1" t="s">
        <v>18</v>
      </c>
      <c r="I56" s="1" t="s">
        <v>11</v>
      </c>
      <c r="J56" s="1" t="s">
        <v>12</v>
      </c>
      <c r="K56">
        <v>0</v>
      </c>
    </row>
    <row r="57" spans="1:11" x14ac:dyDescent="0.3">
      <c r="A57" s="1" t="s">
        <v>13</v>
      </c>
      <c r="B57">
        <v>24</v>
      </c>
      <c r="C57" t="str" cm="1">
        <f t="array" ref="C57">_xlfn.IFS(
    Dataset[[#This Row],[Age]]&lt;=10, "0-10",
    AND(Dataset[[#This Row],[Age]]&gt;10, Dataset[[#This Row],[Age]]&lt;=18), "11-18",
    AND(Dataset[[#This Row],[Age]]&gt;18, Dataset[[#This Row],[Age]]&lt;=30), "19-30",
    AND(Dataset[[#This Row],[Age]]&gt;30, Dataset[[#This Row],[Age]]&lt;=60), "31-60",
    Dataset[[#This Row],[Age]]&gt;60, "above 60"
)</f>
        <v>19-30</v>
      </c>
      <c r="D57">
        <v>1</v>
      </c>
      <c r="E57">
        <v>1</v>
      </c>
      <c r="F57">
        <v>1</v>
      </c>
      <c r="G5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7" s="1" t="s">
        <v>30</v>
      </c>
      <c r="I57" s="1" t="s">
        <v>15</v>
      </c>
      <c r="J57" s="1" t="s">
        <v>12</v>
      </c>
      <c r="K57">
        <v>1</v>
      </c>
    </row>
    <row r="58" spans="1:11" x14ac:dyDescent="0.3">
      <c r="A58" s="1" t="s">
        <v>13</v>
      </c>
      <c r="B58">
        <v>28</v>
      </c>
      <c r="C58" t="str" cm="1">
        <f t="array" ref="C58">_xlfn.IFS(
    Dataset[[#This Row],[Age]]&lt;=10, "0-10",
    AND(Dataset[[#This Row],[Age]]&gt;10, Dataset[[#This Row],[Age]]&lt;=18), "11-18",
    AND(Dataset[[#This Row],[Age]]&gt;18, Dataset[[#This Row],[Age]]&lt;=30), "19-30",
    AND(Dataset[[#This Row],[Age]]&gt;30, Dataset[[#This Row],[Age]]&lt;=60), "31-60",
    Dataset[[#This Row],[Age]]&gt;60, "above 60"
)</f>
        <v>19-30</v>
      </c>
      <c r="D58">
        <v>0</v>
      </c>
      <c r="E58">
        <v>0</v>
      </c>
      <c r="F58">
        <v>0</v>
      </c>
      <c r="G5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8" s="1" t="s">
        <v>19</v>
      </c>
      <c r="I58" s="1" t="s">
        <v>11</v>
      </c>
      <c r="J58" s="1" t="s">
        <v>17</v>
      </c>
      <c r="K58">
        <v>0</v>
      </c>
    </row>
    <row r="59" spans="1:11" x14ac:dyDescent="0.3">
      <c r="A59" s="1" t="s">
        <v>13</v>
      </c>
      <c r="B59">
        <v>25</v>
      </c>
      <c r="C59" t="str" cm="1">
        <f t="array" ref="C59">_xlfn.IFS(
    Dataset[[#This Row],[Age]]&lt;=10, "0-10",
    AND(Dataset[[#This Row],[Age]]&gt;10, Dataset[[#This Row],[Age]]&lt;=18), "11-18",
    AND(Dataset[[#This Row],[Age]]&gt;18, Dataset[[#This Row],[Age]]&lt;=30), "19-30",
    AND(Dataset[[#This Row],[Age]]&gt;30, Dataset[[#This Row],[Age]]&lt;=60), "31-60",
    Dataset[[#This Row],[Age]]&gt;60, "above 60"
)</f>
        <v>19-30</v>
      </c>
      <c r="D59">
        <v>0</v>
      </c>
      <c r="E59">
        <v>0</v>
      </c>
      <c r="F59">
        <v>1</v>
      </c>
      <c r="G5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9" s="1" t="s">
        <v>25</v>
      </c>
      <c r="I59" s="1" t="s">
        <v>15</v>
      </c>
      <c r="J59" s="1" t="s">
        <v>17</v>
      </c>
      <c r="K59">
        <v>0</v>
      </c>
    </row>
    <row r="60" spans="1:11" x14ac:dyDescent="0.3">
      <c r="A60" s="1" t="s">
        <v>13</v>
      </c>
      <c r="B60">
        <v>44</v>
      </c>
      <c r="C60" t="str" cm="1">
        <f t="array" ref="C60">_xlfn.IFS(
    Dataset[[#This Row],[Age]]&lt;=10, "0-10",
    AND(Dataset[[#This Row],[Age]]&gt;10, Dataset[[#This Row],[Age]]&lt;=18), "11-18",
    AND(Dataset[[#This Row],[Age]]&gt;18, Dataset[[#This Row],[Age]]&lt;=30), "19-30",
    AND(Dataset[[#This Row],[Age]]&gt;30, Dataset[[#This Row],[Age]]&lt;=60), "31-60",
    Dataset[[#This Row],[Age]]&gt;60, "above 60"
)</f>
        <v>31-60</v>
      </c>
      <c r="D60">
        <v>0</v>
      </c>
      <c r="E60">
        <v>0</v>
      </c>
      <c r="F60">
        <v>1</v>
      </c>
      <c r="G6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0" s="1" t="s">
        <v>40</v>
      </c>
      <c r="I60" s="1" t="s">
        <v>11</v>
      </c>
      <c r="J60" s="1" t="s">
        <v>22</v>
      </c>
      <c r="K60">
        <v>0</v>
      </c>
    </row>
    <row r="61" spans="1:11" x14ac:dyDescent="0.3">
      <c r="A61" s="1" t="s">
        <v>13</v>
      </c>
      <c r="B61">
        <v>10</v>
      </c>
      <c r="C61" t="str" cm="1">
        <f t="array" ref="C61">_xlfn.IFS(
    Dataset[[#This Row],[Age]]&lt;=10, "0-10",
    AND(Dataset[[#This Row],[Age]]&gt;10, Dataset[[#This Row],[Age]]&lt;=18), "11-18",
    AND(Dataset[[#This Row],[Age]]&gt;18, Dataset[[#This Row],[Age]]&lt;=30), "19-30",
    AND(Dataset[[#This Row],[Age]]&gt;30, Dataset[[#This Row],[Age]]&lt;=60), "31-60",
    Dataset[[#This Row],[Age]]&gt;60, "above 60"
)</f>
        <v>0-10</v>
      </c>
      <c r="D61">
        <v>1</v>
      </c>
      <c r="E61">
        <v>1</v>
      </c>
      <c r="F61">
        <v>1</v>
      </c>
      <c r="G6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1" s="1" t="s">
        <v>37</v>
      </c>
      <c r="I61" s="1" t="s">
        <v>15</v>
      </c>
      <c r="J61" s="1" t="s">
        <v>22</v>
      </c>
      <c r="K61">
        <v>1</v>
      </c>
    </row>
    <row r="62" spans="1:11" x14ac:dyDescent="0.3">
      <c r="A62" s="1" t="s">
        <v>9</v>
      </c>
      <c r="B62">
        <v>13</v>
      </c>
      <c r="C62" t="str" cm="1">
        <f t="array" ref="C62">_xlfn.IFS(
    Dataset[[#This Row],[Age]]&lt;=10, "0-10",
    AND(Dataset[[#This Row],[Age]]&gt;10, Dataset[[#This Row],[Age]]&lt;=18), "11-18",
    AND(Dataset[[#This Row],[Age]]&gt;18, Dataset[[#This Row],[Age]]&lt;=30), "19-30",
    AND(Dataset[[#This Row],[Age]]&gt;30, Dataset[[#This Row],[Age]]&lt;=60), "31-60",
    Dataset[[#This Row],[Age]]&gt;60, "above 60"
)</f>
        <v>11-18</v>
      </c>
      <c r="D62">
        <v>1</v>
      </c>
      <c r="E62">
        <v>1</v>
      </c>
      <c r="F62">
        <v>1</v>
      </c>
      <c r="G6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2" s="1" t="s">
        <v>20</v>
      </c>
      <c r="I62" s="1" t="s">
        <v>11</v>
      </c>
      <c r="J62" s="1" t="s">
        <v>17</v>
      </c>
      <c r="K62">
        <v>1</v>
      </c>
    </row>
    <row r="63" spans="1:11" x14ac:dyDescent="0.3">
      <c r="A63" s="1" t="s">
        <v>9</v>
      </c>
      <c r="B63">
        <v>65</v>
      </c>
      <c r="C63" t="str" cm="1">
        <f t="array" ref="C63">_xlfn.IFS(
    Dataset[[#This Row],[Age]]&lt;=10, "0-10",
    AND(Dataset[[#This Row],[Age]]&gt;10, Dataset[[#This Row],[Age]]&lt;=18), "11-18",
    AND(Dataset[[#This Row],[Age]]&gt;18, Dataset[[#This Row],[Age]]&lt;=30), "19-30",
    AND(Dataset[[#This Row],[Age]]&gt;30, Dataset[[#This Row],[Age]]&lt;=60), "31-60",
    Dataset[[#This Row],[Age]]&gt;60, "above 60"
)</f>
        <v>above 60</v>
      </c>
      <c r="D63">
        <v>1</v>
      </c>
      <c r="E63">
        <v>1</v>
      </c>
      <c r="F63">
        <v>0</v>
      </c>
      <c r="G6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3" s="1" t="s">
        <v>46</v>
      </c>
      <c r="I63" s="1" t="s">
        <v>15</v>
      </c>
      <c r="J63" s="1" t="s">
        <v>12</v>
      </c>
      <c r="K63">
        <v>1</v>
      </c>
    </row>
    <row r="64" spans="1:11" x14ac:dyDescent="0.3">
      <c r="A64" s="1" t="s">
        <v>13</v>
      </c>
      <c r="B64">
        <v>53</v>
      </c>
      <c r="C64" t="str" cm="1">
        <f t="array" ref="C64">_xlfn.IFS(
    Dataset[[#This Row],[Age]]&lt;=10, "0-10",
    AND(Dataset[[#This Row],[Age]]&gt;10, Dataset[[#This Row],[Age]]&lt;=18), "11-18",
    AND(Dataset[[#This Row],[Age]]&gt;18, Dataset[[#This Row],[Age]]&lt;=30), "19-30",
    AND(Dataset[[#This Row],[Age]]&gt;30, Dataset[[#This Row],[Age]]&lt;=60), "31-60",
    Dataset[[#This Row],[Age]]&gt;60, "above 60"
)</f>
        <v>31-60</v>
      </c>
      <c r="D64">
        <v>0</v>
      </c>
      <c r="E64">
        <v>0</v>
      </c>
      <c r="F64">
        <v>0</v>
      </c>
      <c r="G6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4" s="1" t="s">
        <v>36</v>
      </c>
      <c r="I64" s="1" t="s">
        <v>11</v>
      </c>
      <c r="J64" s="1" t="s">
        <v>17</v>
      </c>
      <c r="K64">
        <v>0</v>
      </c>
    </row>
    <row r="65" spans="1:11" x14ac:dyDescent="0.3">
      <c r="A65" s="1" t="s">
        <v>13</v>
      </c>
      <c r="B65">
        <v>54</v>
      </c>
      <c r="C65" t="str" cm="1">
        <f t="array" ref="C65">_xlfn.IFS(
    Dataset[[#This Row],[Age]]&lt;=10, "0-10",
    AND(Dataset[[#This Row],[Age]]&gt;10, Dataset[[#This Row],[Age]]&lt;=18), "11-18",
    AND(Dataset[[#This Row],[Age]]&gt;18, Dataset[[#This Row],[Age]]&lt;=30), "19-30",
    AND(Dataset[[#This Row],[Age]]&gt;30, Dataset[[#This Row],[Age]]&lt;=60), "31-60",
    Dataset[[#This Row],[Age]]&gt;60, "above 60"
)</f>
        <v>31-60</v>
      </c>
      <c r="D65">
        <v>0</v>
      </c>
      <c r="E65">
        <v>0</v>
      </c>
      <c r="F65">
        <v>1</v>
      </c>
      <c r="G6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5" s="1" t="s">
        <v>42</v>
      </c>
      <c r="I65" s="1" t="s">
        <v>15</v>
      </c>
      <c r="J65" s="1" t="s">
        <v>17</v>
      </c>
      <c r="K65">
        <v>0</v>
      </c>
    </row>
    <row r="66" spans="1:11" x14ac:dyDescent="0.3">
      <c r="A66" s="1" t="s">
        <v>9</v>
      </c>
      <c r="B66">
        <v>59</v>
      </c>
      <c r="C66" t="str" cm="1">
        <f t="array" ref="C66">_xlfn.IFS(
    Dataset[[#This Row],[Age]]&lt;=10, "0-10",
    AND(Dataset[[#This Row],[Age]]&gt;10, Dataset[[#This Row],[Age]]&lt;=18), "11-18",
    AND(Dataset[[#This Row],[Age]]&gt;18, Dataset[[#This Row],[Age]]&lt;=30), "19-30",
    AND(Dataset[[#This Row],[Age]]&gt;30, Dataset[[#This Row],[Age]]&lt;=60), "31-60",
    Dataset[[#This Row],[Age]]&gt;60, "above 60"
)</f>
        <v>31-60</v>
      </c>
      <c r="D66">
        <v>0</v>
      </c>
      <c r="E66">
        <v>0</v>
      </c>
      <c r="F66">
        <v>1</v>
      </c>
      <c r="G6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6" s="1" t="s">
        <v>47</v>
      </c>
      <c r="I66" s="1" t="s">
        <v>11</v>
      </c>
      <c r="J66" s="1" t="s">
        <v>12</v>
      </c>
      <c r="K66">
        <v>0</v>
      </c>
    </row>
    <row r="67" spans="1:11" x14ac:dyDescent="0.3">
      <c r="A67" s="1" t="s">
        <v>13</v>
      </c>
      <c r="B67">
        <v>47</v>
      </c>
      <c r="C67" t="str" cm="1">
        <f t="array" ref="C67">_xlfn.IFS(
    Dataset[[#This Row],[Age]]&lt;=10, "0-10",
    AND(Dataset[[#This Row],[Age]]&gt;10, Dataset[[#This Row],[Age]]&lt;=18), "11-18",
    AND(Dataset[[#This Row],[Age]]&gt;18, Dataset[[#This Row],[Age]]&lt;=30), "19-30",
    AND(Dataset[[#This Row],[Age]]&gt;30, Dataset[[#This Row],[Age]]&lt;=60), "31-60",
    Dataset[[#This Row],[Age]]&gt;60, "above 60"
)</f>
        <v>31-60</v>
      </c>
      <c r="D67">
        <v>1</v>
      </c>
      <c r="E67">
        <v>1</v>
      </c>
      <c r="F67">
        <v>1</v>
      </c>
      <c r="G6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7" s="1" t="s">
        <v>48</v>
      </c>
      <c r="I67" s="1" t="s">
        <v>15</v>
      </c>
      <c r="J67" s="1" t="s">
        <v>12</v>
      </c>
      <c r="K67">
        <v>1</v>
      </c>
    </row>
    <row r="68" spans="1:11" x14ac:dyDescent="0.3">
      <c r="A68" s="1" t="s">
        <v>9</v>
      </c>
      <c r="B68">
        <v>28</v>
      </c>
      <c r="C68" t="str" cm="1">
        <f t="array" ref="C68">_xlfn.IFS(
    Dataset[[#This Row],[Age]]&lt;=10, "0-10",
    AND(Dataset[[#This Row],[Age]]&gt;10, Dataset[[#This Row],[Age]]&lt;=18), "11-18",
    AND(Dataset[[#This Row],[Age]]&gt;18, Dataset[[#This Row],[Age]]&lt;=30), "19-30",
    AND(Dataset[[#This Row],[Age]]&gt;30, Dataset[[#This Row],[Age]]&lt;=60), "31-60",
    Dataset[[#This Row],[Age]]&gt;60, "above 60"
)</f>
        <v>19-30</v>
      </c>
      <c r="D68">
        <v>1</v>
      </c>
      <c r="E68">
        <v>1</v>
      </c>
      <c r="F68">
        <v>1</v>
      </c>
      <c r="G6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8" s="1" t="s">
        <v>37</v>
      </c>
      <c r="I68" s="1" t="s">
        <v>11</v>
      </c>
      <c r="J68" s="1" t="s">
        <v>17</v>
      </c>
      <c r="K68">
        <v>1</v>
      </c>
    </row>
    <row r="69" spans="1:11" x14ac:dyDescent="0.3">
      <c r="A69" s="1" t="s">
        <v>9</v>
      </c>
      <c r="B69">
        <v>38</v>
      </c>
      <c r="C69" t="str" cm="1">
        <f t="array" ref="C69">_xlfn.IFS(
    Dataset[[#This Row],[Age]]&lt;=10, "0-10",
    AND(Dataset[[#This Row],[Age]]&gt;10, Dataset[[#This Row],[Age]]&lt;=18), "11-18",
    AND(Dataset[[#This Row],[Age]]&gt;18, Dataset[[#This Row],[Age]]&lt;=30), "19-30",
    AND(Dataset[[#This Row],[Age]]&gt;30, Dataset[[#This Row],[Age]]&lt;=60), "31-60",
    Dataset[[#This Row],[Age]]&gt;60, "above 60"
)</f>
        <v>31-60</v>
      </c>
      <c r="D69">
        <v>1</v>
      </c>
      <c r="E69">
        <v>1</v>
      </c>
      <c r="F69">
        <v>0</v>
      </c>
      <c r="G6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9" s="1" t="s">
        <v>48</v>
      </c>
      <c r="I69" s="1" t="s">
        <v>15</v>
      </c>
      <c r="J69" s="1" t="s">
        <v>22</v>
      </c>
      <c r="K69">
        <v>1</v>
      </c>
    </row>
    <row r="70" spans="1:11" x14ac:dyDescent="0.3">
      <c r="A70" s="1" t="s">
        <v>9</v>
      </c>
      <c r="B70">
        <v>11</v>
      </c>
      <c r="C70" t="str" cm="1">
        <f t="array" ref="C70">_xlfn.IFS(
    Dataset[[#This Row],[Age]]&lt;=10, "0-10",
    AND(Dataset[[#This Row],[Age]]&gt;10, Dataset[[#This Row],[Age]]&lt;=18), "11-18",
    AND(Dataset[[#This Row],[Age]]&gt;18, Dataset[[#This Row],[Age]]&lt;=30), "19-30",
    AND(Dataset[[#This Row],[Age]]&gt;30, Dataset[[#This Row],[Age]]&lt;=60), "31-60",
    Dataset[[#This Row],[Age]]&gt;60, "above 60"
)</f>
        <v>11-18</v>
      </c>
      <c r="D70">
        <v>1</v>
      </c>
      <c r="E70">
        <v>1</v>
      </c>
      <c r="F70">
        <v>0</v>
      </c>
      <c r="G7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0" s="1" t="s">
        <v>24</v>
      </c>
      <c r="I70" s="1" t="s">
        <v>11</v>
      </c>
      <c r="J70" s="1" t="s">
        <v>22</v>
      </c>
      <c r="K70">
        <v>1</v>
      </c>
    </row>
    <row r="71" spans="1:11" x14ac:dyDescent="0.3">
      <c r="A71" s="1" t="s">
        <v>9</v>
      </c>
      <c r="B71">
        <v>65</v>
      </c>
      <c r="C71" t="str" cm="1">
        <f t="array" ref="C71">_xlfn.IFS(
    Dataset[[#This Row],[Age]]&lt;=10, "0-10",
    AND(Dataset[[#This Row],[Age]]&gt;10, Dataset[[#This Row],[Age]]&lt;=18), "11-18",
    AND(Dataset[[#This Row],[Age]]&gt;18, Dataset[[#This Row],[Age]]&lt;=30), "19-30",
    AND(Dataset[[#This Row],[Age]]&gt;30, Dataset[[#This Row],[Age]]&lt;=60), "31-60",
    Dataset[[#This Row],[Age]]&gt;60, "above 60"
)</f>
        <v>above 60</v>
      </c>
      <c r="D71">
        <v>0</v>
      </c>
      <c r="E71">
        <v>0</v>
      </c>
      <c r="F71">
        <v>0</v>
      </c>
      <c r="G7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1" s="1" t="s">
        <v>27</v>
      </c>
      <c r="I71" s="1" t="s">
        <v>15</v>
      </c>
      <c r="J71" s="1" t="s">
        <v>22</v>
      </c>
      <c r="K71">
        <v>0</v>
      </c>
    </row>
    <row r="72" spans="1:11" x14ac:dyDescent="0.3">
      <c r="A72" s="1" t="s">
        <v>13</v>
      </c>
      <c r="B72">
        <v>17</v>
      </c>
      <c r="C72" t="str" cm="1">
        <f t="array" ref="C72">_xlfn.IFS(
    Dataset[[#This Row],[Age]]&lt;=10, "0-10",
    AND(Dataset[[#This Row],[Age]]&gt;10, Dataset[[#This Row],[Age]]&lt;=18), "11-18",
    AND(Dataset[[#This Row],[Age]]&gt;18, Dataset[[#This Row],[Age]]&lt;=30), "19-30",
    AND(Dataset[[#This Row],[Age]]&gt;30, Dataset[[#This Row],[Age]]&lt;=60), "31-60",
    Dataset[[#This Row],[Age]]&gt;60, "above 60"
)</f>
        <v>11-18</v>
      </c>
      <c r="D72">
        <v>1</v>
      </c>
      <c r="E72">
        <v>1</v>
      </c>
      <c r="F72">
        <v>0</v>
      </c>
      <c r="G7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2" s="1" t="s">
        <v>18</v>
      </c>
      <c r="I72" s="1" t="s">
        <v>11</v>
      </c>
      <c r="J72" s="1" t="s">
        <v>17</v>
      </c>
      <c r="K72">
        <v>1</v>
      </c>
    </row>
    <row r="73" spans="1:11" x14ac:dyDescent="0.3">
      <c r="A73" s="1" t="s">
        <v>13</v>
      </c>
      <c r="B73">
        <v>64</v>
      </c>
      <c r="C73" t="str" cm="1">
        <f t="array" ref="C73">_xlfn.IFS(
    Dataset[[#This Row],[Age]]&lt;=10, "0-10",
    AND(Dataset[[#This Row],[Age]]&gt;10, Dataset[[#This Row],[Age]]&lt;=18), "11-18",
    AND(Dataset[[#This Row],[Age]]&gt;18, Dataset[[#This Row],[Age]]&lt;=30), "19-30",
    AND(Dataset[[#This Row],[Age]]&gt;30, Dataset[[#This Row],[Age]]&lt;=60), "31-60",
    Dataset[[#This Row],[Age]]&gt;60, "above 60"
)</f>
        <v>above 60</v>
      </c>
      <c r="D73">
        <v>0</v>
      </c>
      <c r="E73">
        <v>0</v>
      </c>
      <c r="F73">
        <v>0</v>
      </c>
      <c r="G7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3" s="1" t="s">
        <v>49</v>
      </c>
      <c r="I73" s="1" t="s">
        <v>15</v>
      </c>
      <c r="J73" s="1" t="s">
        <v>22</v>
      </c>
      <c r="K73">
        <v>0</v>
      </c>
    </row>
    <row r="74" spans="1:11" x14ac:dyDescent="0.3">
      <c r="A74" s="1" t="s">
        <v>9</v>
      </c>
      <c r="B74">
        <v>45</v>
      </c>
      <c r="C74" t="str" cm="1">
        <f t="array" ref="C74">_xlfn.IFS(
    Dataset[[#This Row],[Age]]&lt;=10, "0-10",
    AND(Dataset[[#This Row],[Age]]&gt;10, Dataset[[#This Row],[Age]]&lt;=18), "11-18",
    AND(Dataset[[#This Row],[Age]]&gt;18, Dataset[[#This Row],[Age]]&lt;=30), "19-30",
    AND(Dataset[[#This Row],[Age]]&gt;30, Dataset[[#This Row],[Age]]&lt;=60), "31-60",
    Dataset[[#This Row],[Age]]&gt;60, "above 60"
)</f>
        <v>31-60</v>
      </c>
      <c r="D74">
        <v>1</v>
      </c>
      <c r="E74">
        <v>1</v>
      </c>
      <c r="F74">
        <v>1</v>
      </c>
      <c r="G7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4" s="1" t="s">
        <v>33</v>
      </c>
      <c r="I74" s="1" t="s">
        <v>11</v>
      </c>
      <c r="J74" s="1" t="s">
        <v>22</v>
      </c>
      <c r="K74">
        <v>1</v>
      </c>
    </row>
    <row r="75" spans="1:11" x14ac:dyDescent="0.3">
      <c r="A75" s="1" t="s">
        <v>9</v>
      </c>
      <c r="B75">
        <v>10</v>
      </c>
      <c r="C75" t="str" cm="1">
        <f t="array" ref="C75">_xlfn.IFS(
    Dataset[[#This Row],[Age]]&lt;=10, "0-10",
    AND(Dataset[[#This Row],[Age]]&gt;10, Dataset[[#This Row],[Age]]&lt;=18), "11-18",
    AND(Dataset[[#This Row],[Age]]&gt;18, Dataset[[#This Row],[Age]]&lt;=30), "19-30",
    AND(Dataset[[#This Row],[Age]]&gt;30, Dataset[[#This Row],[Age]]&lt;=60), "31-60",
    Dataset[[#This Row],[Age]]&gt;60, "above 60"
)</f>
        <v>0-10</v>
      </c>
      <c r="D75">
        <v>1</v>
      </c>
      <c r="E75">
        <v>1</v>
      </c>
      <c r="F75">
        <v>0</v>
      </c>
      <c r="G7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5" s="1" t="s">
        <v>47</v>
      </c>
      <c r="I75" s="1" t="s">
        <v>15</v>
      </c>
      <c r="J75" s="1" t="s">
        <v>12</v>
      </c>
      <c r="K75">
        <v>1</v>
      </c>
    </row>
    <row r="76" spans="1:11" x14ac:dyDescent="0.3">
      <c r="A76" s="1" t="s">
        <v>13</v>
      </c>
      <c r="B76">
        <v>49</v>
      </c>
      <c r="C76" t="str" cm="1">
        <f t="array" ref="C76">_xlfn.IFS(
    Dataset[[#This Row],[Age]]&lt;=10, "0-10",
    AND(Dataset[[#This Row],[Age]]&gt;10, Dataset[[#This Row],[Age]]&lt;=18), "11-18",
    AND(Dataset[[#This Row],[Age]]&gt;18, Dataset[[#This Row],[Age]]&lt;=30), "19-30",
    AND(Dataset[[#This Row],[Age]]&gt;30, Dataset[[#This Row],[Age]]&lt;=60), "31-60",
    Dataset[[#This Row],[Age]]&gt;60, "above 60"
)</f>
        <v>31-60</v>
      </c>
      <c r="D76">
        <v>1</v>
      </c>
      <c r="E76">
        <v>1</v>
      </c>
      <c r="F76">
        <v>1</v>
      </c>
      <c r="G7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6" s="1" t="s">
        <v>42</v>
      </c>
      <c r="I76" s="1" t="s">
        <v>11</v>
      </c>
      <c r="J76" s="1" t="s">
        <v>17</v>
      </c>
      <c r="K76">
        <v>1</v>
      </c>
    </row>
    <row r="77" spans="1:11" x14ac:dyDescent="0.3">
      <c r="A77" s="1" t="s">
        <v>13</v>
      </c>
      <c r="B77">
        <v>61</v>
      </c>
      <c r="C77" t="str" cm="1">
        <f t="array" ref="C77">_xlfn.IFS(
    Dataset[[#This Row],[Age]]&lt;=10, "0-10",
    AND(Dataset[[#This Row],[Age]]&gt;10, Dataset[[#This Row],[Age]]&lt;=18), "11-18",
    AND(Dataset[[#This Row],[Age]]&gt;18, Dataset[[#This Row],[Age]]&lt;=30), "19-30",
    AND(Dataset[[#This Row],[Age]]&gt;30, Dataset[[#This Row],[Age]]&lt;=60), "31-60",
    Dataset[[#This Row],[Age]]&gt;60, "above 60"
)</f>
        <v>above 60</v>
      </c>
      <c r="D77">
        <v>0</v>
      </c>
      <c r="E77">
        <v>0</v>
      </c>
      <c r="F77">
        <v>1</v>
      </c>
      <c r="G7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7" s="1" t="s">
        <v>35</v>
      </c>
      <c r="I77" s="1" t="s">
        <v>15</v>
      </c>
      <c r="J77" s="1" t="s">
        <v>22</v>
      </c>
      <c r="K77">
        <v>0</v>
      </c>
    </row>
    <row r="78" spans="1:11" x14ac:dyDescent="0.3">
      <c r="A78" s="1" t="s">
        <v>9</v>
      </c>
      <c r="B78">
        <v>61</v>
      </c>
      <c r="C78" t="str" cm="1">
        <f t="array" ref="C78">_xlfn.IFS(
    Dataset[[#This Row],[Age]]&lt;=10, "0-10",
    AND(Dataset[[#This Row],[Age]]&gt;10, Dataset[[#This Row],[Age]]&lt;=18), "11-18",
    AND(Dataset[[#This Row],[Age]]&gt;18, Dataset[[#This Row],[Age]]&lt;=30), "19-30",
    AND(Dataset[[#This Row],[Age]]&gt;30, Dataset[[#This Row],[Age]]&lt;=60), "31-60",
    Dataset[[#This Row],[Age]]&gt;60, "above 60"
)</f>
        <v>above 60</v>
      </c>
      <c r="D78">
        <v>1</v>
      </c>
      <c r="E78">
        <v>1</v>
      </c>
      <c r="F78">
        <v>1</v>
      </c>
      <c r="G7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8" s="1" t="s">
        <v>37</v>
      </c>
      <c r="I78" s="1" t="s">
        <v>11</v>
      </c>
      <c r="J78" s="1" t="s">
        <v>17</v>
      </c>
      <c r="K78">
        <v>1</v>
      </c>
    </row>
    <row r="79" spans="1:11" x14ac:dyDescent="0.3">
      <c r="A79" s="1" t="s">
        <v>13</v>
      </c>
      <c r="B79">
        <v>21</v>
      </c>
      <c r="C79" t="str" cm="1">
        <f t="array" ref="C79">_xlfn.IFS(
    Dataset[[#This Row],[Age]]&lt;=10, "0-10",
    AND(Dataset[[#This Row],[Age]]&gt;10, Dataset[[#This Row],[Age]]&lt;=18), "11-18",
    AND(Dataset[[#This Row],[Age]]&gt;18, Dataset[[#This Row],[Age]]&lt;=30), "19-30",
    AND(Dataset[[#This Row],[Age]]&gt;30, Dataset[[#This Row],[Age]]&lt;=60), "31-60",
    Dataset[[#This Row],[Age]]&gt;60, "above 60"
)</f>
        <v>19-30</v>
      </c>
      <c r="D79">
        <v>0</v>
      </c>
      <c r="E79">
        <v>0</v>
      </c>
      <c r="F79">
        <v>1</v>
      </c>
      <c r="G7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9" s="1" t="s">
        <v>20</v>
      </c>
      <c r="I79" s="1" t="s">
        <v>15</v>
      </c>
      <c r="J79" s="1" t="s">
        <v>12</v>
      </c>
      <c r="K79">
        <v>0</v>
      </c>
    </row>
    <row r="80" spans="1:11" x14ac:dyDescent="0.3">
      <c r="A80" s="1" t="s">
        <v>13</v>
      </c>
      <c r="B80">
        <v>64</v>
      </c>
      <c r="C80" t="str" cm="1">
        <f t="array" ref="C80">_xlfn.IFS(
    Dataset[[#This Row],[Age]]&lt;=10, "0-10",
    AND(Dataset[[#This Row],[Age]]&gt;10, Dataset[[#This Row],[Age]]&lt;=18), "11-18",
    AND(Dataset[[#This Row],[Age]]&gt;18, Dataset[[#This Row],[Age]]&lt;=30), "19-30",
    AND(Dataset[[#This Row],[Age]]&gt;30, Dataset[[#This Row],[Age]]&lt;=60), "31-60",
    Dataset[[#This Row],[Age]]&gt;60, "above 60"
)</f>
        <v>above 60</v>
      </c>
      <c r="D80">
        <v>1</v>
      </c>
      <c r="E80">
        <v>1</v>
      </c>
      <c r="F80">
        <v>1</v>
      </c>
      <c r="G8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0" s="1" t="s">
        <v>31</v>
      </c>
      <c r="I80" s="1" t="s">
        <v>11</v>
      </c>
      <c r="J80" s="1" t="s">
        <v>17</v>
      </c>
      <c r="K80">
        <v>1</v>
      </c>
    </row>
    <row r="81" spans="1:11" x14ac:dyDescent="0.3">
      <c r="A81" s="1" t="s">
        <v>9</v>
      </c>
      <c r="B81">
        <v>24</v>
      </c>
      <c r="C81" t="str" cm="1">
        <f t="array" ref="C81">_xlfn.IFS(
    Dataset[[#This Row],[Age]]&lt;=10, "0-10",
    AND(Dataset[[#This Row],[Age]]&gt;10, Dataset[[#This Row],[Age]]&lt;=18), "11-18",
    AND(Dataset[[#This Row],[Age]]&gt;18, Dataset[[#This Row],[Age]]&lt;=30), "19-30",
    AND(Dataset[[#This Row],[Age]]&gt;30, Dataset[[#This Row],[Age]]&lt;=60), "31-60",
    Dataset[[#This Row],[Age]]&gt;60, "above 60"
)</f>
        <v>19-30</v>
      </c>
      <c r="D81">
        <v>0</v>
      </c>
      <c r="E81">
        <v>0</v>
      </c>
      <c r="F81">
        <v>0</v>
      </c>
      <c r="G8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1" s="1" t="s">
        <v>30</v>
      </c>
      <c r="I81" s="1" t="s">
        <v>15</v>
      </c>
      <c r="J81" s="1" t="s">
        <v>22</v>
      </c>
      <c r="K81">
        <v>0</v>
      </c>
    </row>
    <row r="82" spans="1:11" x14ac:dyDescent="0.3">
      <c r="A82" s="1" t="s">
        <v>9</v>
      </c>
      <c r="B82">
        <v>62</v>
      </c>
      <c r="C82" t="str" cm="1">
        <f t="array" ref="C82">_xlfn.IFS(
    Dataset[[#This Row],[Age]]&lt;=10, "0-10",
    AND(Dataset[[#This Row],[Age]]&gt;10, Dataset[[#This Row],[Age]]&lt;=18), "11-18",
    AND(Dataset[[#This Row],[Age]]&gt;18, Dataset[[#This Row],[Age]]&lt;=30), "19-30",
    AND(Dataset[[#This Row],[Age]]&gt;30, Dataset[[#This Row],[Age]]&lt;=60), "31-60",
    Dataset[[#This Row],[Age]]&gt;60, "above 60"
)</f>
        <v>above 60</v>
      </c>
      <c r="D82">
        <v>1</v>
      </c>
      <c r="E82">
        <v>1</v>
      </c>
      <c r="F82">
        <v>0</v>
      </c>
      <c r="G8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2" s="1" t="s">
        <v>30</v>
      </c>
      <c r="I82" s="1" t="s">
        <v>11</v>
      </c>
      <c r="J82" s="1" t="s">
        <v>12</v>
      </c>
      <c r="K82">
        <v>1</v>
      </c>
    </row>
    <row r="83" spans="1:11" x14ac:dyDescent="0.3">
      <c r="A83" s="1" t="s">
        <v>13</v>
      </c>
      <c r="B83">
        <v>59</v>
      </c>
      <c r="C83" t="str" cm="1">
        <f t="array" ref="C83">_xlfn.IFS(
    Dataset[[#This Row],[Age]]&lt;=10, "0-10",
    AND(Dataset[[#This Row],[Age]]&gt;10, Dataset[[#This Row],[Age]]&lt;=18), "11-18",
    AND(Dataset[[#This Row],[Age]]&gt;18, Dataset[[#This Row],[Age]]&lt;=30), "19-30",
    AND(Dataset[[#This Row],[Age]]&gt;30, Dataset[[#This Row],[Age]]&lt;=60), "31-60",
    Dataset[[#This Row],[Age]]&gt;60, "above 60"
)</f>
        <v>31-60</v>
      </c>
      <c r="D83">
        <v>1</v>
      </c>
      <c r="E83">
        <v>1</v>
      </c>
      <c r="F83">
        <v>1</v>
      </c>
      <c r="G8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3" s="1" t="s">
        <v>27</v>
      </c>
      <c r="I83" s="1" t="s">
        <v>15</v>
      </c>
      <c r="J83" s="1" t="s">
        <v>17</v>
      </c>
      <c r="K83">
        <v>1</v>
      </c>
    </row>
    <row r="84" spans="1:11" x14ac:dyDescent="0.3">
      <c r="A84" s="1" t="s">
        <v>13</v>
      </c>
      <c r="B84">
        <v>44</v>
      </c>
      <c r="C84" t="str" cm="1">
        <f t="array" ref="C84">_xlfn.IFS(
    Dataset[[#This Row],[Age]]&lt;=10, "0-10",
    AND(Dataset[[#This Row],[Age]]&gt;10, Dataset[[#This Row],[Age]]&lt;=18), "11-18",
    AND(Dataset[[#This Row],[Age]]&gt;18, Dataset[[#This Row],[Age]]&lt;=30), "19-30",
    AND(Dataset[[#This Row],[Age]]&gt;30, Dataset[[#This Row],[Age]]&lt;=60), "31-60",
    Dataset[[#This Row],[Age]]&gt;60, "above 60"
)</f>
        <v>31-60</v>
      </c>
      <c r="D84">
        <v>0</v>
      </c>
      <c r="E84">
        <v>0</v>
      </c>
      <c r="F84">
        <v>0</v>
      </c>
      <c r="G8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4" s="1" t="s">
        <v>21</v>
      </c>
      <c r="I84" s="1" t="s">
        <v>11</v>
      </c>
      <c r="J84" s="1" t="s">
        <v>22</v>
      </c>
      <c r="K84">
        <v>0</v>
      </c>
    </row>
    <row r="85" spans="1:11" x14ac:dyDescent="0.3">
      <c r="A85" s="1" t="s">
        <v>9</v>
      </c>
      <c r="B85">
        <v>12</v>
      </c>
      <c r="C85" t="str" cm="1">
        <f t="array" ref="C85">_xlfn.IFS(
    Dataset[[#This Row],[Age]]&lt;=10, "0-10",
    AND(Dataset[[#This Row],[Age]]&gt;10, Dataset[[#This Row],[Age]]&lt;=18), "11-18",
    AND(Dataset[[#This Row],[Age]]&gt;18, Dataset[[#This Row],[Age]]&lt;=30), "19-30",
    AND(Dataset[[#This Row],[Age]]&gt;30, Dataset[[#This Row],[Age]]&lt;=60), "31-60",
    Dataset[[#This Row],[Age]]&gt;60, "above 60"
)</f>
        <v>11-18</v>
      </c>
      <c r="D85">
        <v>1</v>
      </c>
      <c r="E85">
        <v>1</v>
      </c>
      <c r="F85">
        <v>0</v>
      </c>
      <c r="G8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5" s="1" t="s">
        <v>46</v>
      </c>
      <c r="I85" s="1" t="s">
        <v>15</v>
      </c>
      <c r="J85" s="1" t="s">
        <v>17</v>
      </c>
      <c r="K85">
        <v>1</v>
      </c>
    </row>
    <row r="86" spans="1:11" x14ac:dyDescent="0.3">
      <c r="A86" s="1" t="s">
        <v>9</v>
      </c>
      <c r="B86">
        <v>29</v>
      </c>
      <c r="C86" t="str" cm="1">
        <f t="array" ref="C86">_xlfn.IFS(
    Dataset[[#This Row],[Age]]&lt;=10, "0-10",
    AND(Dataset[[#This Row],[Age]]&gt;10, Dataset[[#This Row],[Age]]&lt;=18), "11-18",
    AND(Dataset[[#This Row],[Age]]&gt;18, Dataset[[#This Row],[Age]]&lt;=30), "19-30",
    AND(Dataset[[#This Row],[Age]]&gt;30, Dataset[[#This Row],[Age]]&lt;=60), "31-60",
    Dataset[[#This Row],[Age]]&gt;60, "above 60"
)</f>
        <v>19-30</v>
      </c>
      <c r="D86">
        <v>1</v>
      </c>
      <c r="E86">
        <v>1</v>
      </c>
      <c r="F86">
        <v>1</v>
      </c>
      <c r="G8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6" s="1" t="s">
        <v>29</v>
      </c>
      <c r="I86" s="1" t="s">
        <v>11</v>
      </c>
      <c r="J86" s="1" t="s">
        <v>22</v>
      </c>
      <c r="K86">
        <v>1</v>
      </c>
    </row>
    <row r="87" spans="1:11" x14ac:dyDescent="0.3">
      <c r="A87" s="1" t="s">
        <v>13</v>
      </c>
      <c r="B87">
        <v>38</v>
      </c>
      <c r="C87" t="str" cm="1">
        <f t="array" ref="C87">_xlfn.IFS(
    Dataset[[#This Row],[Age]]&lt;=10, "0-10",
    AND(Dataset[[#This Row],[Age]]&gt;10, Dataset[[#This Row],[Age]]&lt;=18), "11-18",
    AND(Dataset[[#This Row],[Age]]&gt;18, Dataset[[#This Row],[Age]]&lt;=30), "19-30",
    AND(Dataset[[#This Row],[Age]]&gt;30, Dataset[[#This Row],[Age]]&lt;=60), "31-60",
    Dataset[[#This Row],[Age]]&gt;60, "above 60"
)</f>
        <v>31-60</v>
      </c>
      <c r="D87">
        <v>0</v>
      </c>
      <c r="E87">
        <v>0</v>
      </c>
      <c r="F87">
        <v>0</v>
      </c>
      <c r="G8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7" s="1" t="s">
        <v>34</v>
      </c>
      <c r="I87" s="1" t="s">
        <v>15</v>
      </c>
      <c r="J87" s="1" t="s">
        <v>12</v>
      </c>
      <c r="K87">
        <v>0</v>
      </c>
    </row>
    <row r="88" spans="1:11" x14ac:dyDescent="0.3">
      <c r="A88" s="1" t="s">
        <v>9</v>
      </c>
      <c r="B88">
        <v>45</v>
      </c>
      <c r="C88" t="str" cm="1">
        <f t="array" ref="C88">_xlfn.IFS(
    Dataset[[#This Row],[Age]]&lt;=10, "0-10",
    AND(Dataset[[#This Row],[Age]]&gt;10, Dataset[[#This Row],[Age]]&lt;=18), "11-18",
    AND(Dataset[[#This Row],[Age]]&gt;18, Dataset[[#This Row],[Age]]&lt;=30), "19-30",
    AND(Dataset[[#This Row],[Age]]&gt;30, Dataset[[#This Row],[Age]]&lt;=60), "31-60",
    Dataset[[#This Row],[Age]]&gt;60, "above 60"
)</f>
        <v>31-60</v>
      </c>
      <c r="D88">
        <v>1</v>
      </c>
      <c r="E88">
        <v>1</v>
      </c>
      <c r="F88">
        <v>0</v>
      </c>
      <c r="G8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8" s="1" t="s">
        <v>43</v>
      </c>
      <c r="I88" s="1" t="s">
        <v>11</v>
      </c>
      <c r="J88" s="1" t="s">
        <v>12</v>
      </c>
      <c r="K88">
        <v>1</v>
      </c>
    </row>
    <row r="89" spans="1:11" x14ac:dyDescent="0.3">
      <c r="A89" s="1" t="s">
        <v>9</v>
      </c>
      <c r="B89">
        <v>54</v>
      </c>
      <c r="C89" t="str" cm="1">
        <f t="array" ref="C89">_xlfn.IFS(
    Dataset[[#This Row],[Age]]&lt;=10, "0-10",
    AND(Dataset[[#This Row],[Age]]&gt;10, Dataset[[#This Row],[Age]]&lt;=18), "11-18",
    AND(Dataset[[#This Row],[Age]]&gt;18, Dataset[[#This Row],[Age]]&lt;=30), "19-30",
    AND(Dataset[[#This Row],[Age]]&gt;30, Dataset[[#This Row],[Age]]&lt;=60), "31-60",
    Dataset[[#This Row],[Age]]&gt;60, "above 60"
)</f>
        <v>31-60</v>
      </c>
      <c r="D89">
        <v>1</v>
      </c>
      <c r="E89">
        <v>1</v>
      </c>
      <c r="F89">
        <v>1</v>
      </c>
      <c r="G8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9" s="1" t="s">
        <v>42</v>
      </c>
      <c r="I89" s="1" t="s">
        <v>15</v>
      </c>
      <c r="J89" s="1" t="s">
        <v>12</v>
      </c>
      <c r="K89">
        <v>1</v>
      </c>
    </row>
    <row r="90" spans="1:11" x14ac:dyDescent="0.3">
      <c r="A90" s="1" t="s">
        <v>9</v>
      </c>
      <c r="B90">
        <v>50</v>
      </c>
      <c r="C90" t="str" cm="1">
        <f t="array" ref="C90">_xlfn.IFS(
    Dataset[[#This Row],[Age]]&lt;=10, "0-10",
    AND(Dataset[[#This Row],[Age]]&gt;10, Dataset[[#This Row],[Age]]&lt;=18), "11-18",
    AND(Dataset[[#This Row],[Age]]&gt;18, Dataset[[#This Row],[Age]]&lt;=30), "19-30",
    AND(Dataset[[#This Row],[Age]]&gt;30, Dataset[[#This Row],[Age]]&lt;=60), "31-60",
    Dataset[[#This Row],[Age]]&gt;60, "above 60"
)</f>
        <v>31-60</v>
      </c>
      <c r="D90">
        <v>1</v>
      </c>
      <c r="E90">
        <v>1</v>
      </c>
      <c r="F90">
        <v>1</v>
      </c>
      <c r="G9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0" s="1" t="s">
        <v>45</v>
      </c>
      <c r="I90" s="1" t="s">
        <v>11</v>
      </c>
      <c r="J90" s="1" t="s">
        <v>22</v>
      </c>
      <c r="K90">
        <v>1</v>
      </c>
    </row>
    <row r="91" spans="1:11" x14ac:dyDescent="0.3">
      <c r="A91" s="1" t="s">
        <v>9</v>
      </c>
      <c r="B91">
        <v>39</v>
      </c>
      <c r="C91" t="str" cm="1">
        <f t="array" ref="C91">_xlfn.IFS(
    Dataset[[#This Row],[Age]]&lt;=10, "0-10",
    AND(Dataset[[#This Row],[Age]]&gt;10, Dataset[[#This Row],[Age]]&lt;=18), "11-18",
    AND(Dataset[[#This Row],[Age]]&gt;18, Dataset[[#This Row],[Age]]&lt;=30), "19-30",
    AND(Dataset[[#This Row],[Age]]&gt;30, Dataset[[#This Row],[Age]]&lt;=60), "31-60",
    Dataset[[#This Row],[Age]]&gt;60, "above 60"
)</f>
        <v>31-60</v>
      </c>
      <c r="D91">
        <v>1</v>
      </c>
      <c r="E91">
        <v>1</v>
      </c>
      <c r="F91">
        <v>0</v>
      </c>
      <c r="G9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1" s="1" t="s">
        <v>38</v>
      </c>
      <c r="I91" s="1" t="s">
        <v>15</v>
      </c>
      <c r="J91" s="1" t="s">
        <v>12</v>
      </c>
      <c r="K91">
        <v>1</v>
      </c>
    </row>
    <row r="92" spans="1:11" x14ac:dyDescent="0.3">
      <c r="A92" s="1" t="s">
        <v>9</v>
      </c>
      <c r="B92">
        <v>53</v>
      </c>
      <c r="C92" t="str" cm="1">
        <f t="array" ref="C92">_xlfn.IFS(
    Dataset[[#This Row],[Age]]&lt;=10, "0-10",
    AND(Dataset[[#This Row],[Age]]&gt;10, Dataset[[#This Row],[Age]]&lt;=18), "11-18",
    AND(Dataset[[#This Row],[Age]]&gt;18, Dataset[[#This Row],[Age]]&lt;=30), "19-30",
    AND(Dataset[[#This Row],[Age]]&gt;30, Dataset[[#This Row],[Age]]&lt;=60), "31-60",
    Dataset[[#This Row],[Age]]&gt;60, "above 60"
)</f>
        <v>31-60</v>
      </c>
      <c r="D92">
        <v>0</v>
      </c>
      <c r="E92">
        <v>0</v>
      </c>
      <c r="F92">
        <v>0</v>
      </c>
      <c r="G9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2" s="1" t="s">
        <v>45</v>
      </c>
      <c r="I92" s="1" t="s">
        <v>11</v>
      </c>
      <c r="J92" s="1" t="s">
        <v>17</v>
      </c>
      <c r="K92">
        <v>0</v>
      </c>
    </row>
    <row r="93" spans="1:11" x14ac:dyDescent="0.3">
      <c r="A93" s="1" t="s">
        <v>13</v>
      </c>
      <c r="B93">
        <v>64</v>
      </c>
      <c r="C93" t="str" cm="1">
        <f t="array" ref="C93">_xlfn.IFS(
    Dataset[[#This Row],[Age]]&lt;=10, "0-10",
    AND(Dataset[[#This Row],[Age]]&gt;10, Dataset[[#This Row],[Age]]&lt;=18), "11-18",
    AND(Dataset[[#This Row],[Age]]&gt;18, Dataset[[#This Row],[Age]]&lt;=30), "19-30",
    AND(Dataset[[#This Row],[Age]]&gt;30, Dataset[[#This Row],[Age]]&lt;=60), "31-60",
    Dataset[[#This Row],[Age]]&gt;60, "above 60"
)</f>
        <v>above 60</v>
      </c>
      <c r="D93">
        <v>1</v>
      </c>
      <c r="E93">
        <v>1</v>
      </c>
      <c r="F93">
        <v>1</v>
      </c>
      <c r="G9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3" s="1" t="s">
        <v>10</v>
      </c>
      <c r="I93" s="1" t="s">
        <v>15</v>
      </c>
      <c r="J93" s="1" t="s">
        <v>12</v>
      </c>
      <c r="K93">
        <v>1</v>
      </c>
    </row>
    <row r="94" spans="1:11" x14ac:dyDescent="0.3">
      <c r="A94" s="1" t="s">
        <v>9</v>
      </c>
      <c r="B94">
        <v>60</v>
      </c>
      <c r="C94" t="str" cm="1">
        <f t="array" ref="C94">_xlfn.IFS(
    Dataset[[#This Row],[Age]]&lt;=10, "0-10",
    AND(Dataset[[#This Row],[Age]]&gt;10, Dataset[[#This Row],[Age]]&lt;=18), "11-18",
    AND(Dataset[[#This Row],[Age]]&gt;18, Dataset[[#This Row],[Age]]&lt;=30), "19-30",
    AND(Dataset[[#This Row],[Age]]&gt;30, Dataset[[#This Row],[Age]]&lt;=60), "31-60",
    Dataset[[#This Row],[Age]]&gt;60, "above 60"
)</f>
        <v>31-60</v>
      </c>
      <c r="D94">
        <v>1</v>
      </c>
      <c r="E94">
        <v>1</v>
      </c>
      <c r="F94">
        <v>1</v>
      </c>
      <c r="G9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4" s="1" t="s">
        <v>49</v>
      </c>
      <c r="I94" s="1" t="s">
        <v>11</v>
      </c>
      <c r="J94" s="1" t="s">
        <v>17</v>
      </c>
      <c r="K94">
        <v>1</v>
      </c>
    </row>
    <row r="95" spans="1:11" x14ac:dyDescent="0.3">
      <c r="A95" s="1" t="s">
        <v>9</v>
      </c>
      <c r="B95">
        <v>45</v>
      </c>
      <c r="C95" t="str" cm="1">
        <f t="array" ref="C95">_xlfn.IFS(
    Dataset[[#This Row],[Age]]&lt;=10, "0-10",
    AND(Dataset[[#This Row],[Age]]&gt;10, Dataset[[#This Row],[Age]]&lt;=18), "11-18",
    AND(Dataset[[#This Row],[Age]]&gt;18, Dataset[[#This Row],[Age]]&lt;=30), "19-30",
    AND(Dataset[[#This Row],[Age]]&gt;30, Dataset[[#This Row],[Age]]&lt;=60), "31-60",
    Dataset[[#This Row],[Age]]&gt;60, "above 60"
)</f>
        <v>31-60</v>
      </c>
      <c r="D95">
        <v>0</v>
      </c>
      <c r="E95">
        <v>0</v>
      </c>
      <c r="F95">
        <v>1</v>
      </c>
      <c r="G9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5" s="1" t="s">
        <v>39</v>
      </c>
      <c r="I95" s="1" t="s">
        <v>15</v>
      </c>
      <c r="J95" s="1" t="s">
        <v>17</v>
      </c>
      <c r="K95">
        <v>0</v>
      </c>
    </row>
    <row r="96" spans="1:11" x14ac:dyDescent="0.3">
      <c r="A96" s="1" t="s">
        <v>13</v>
      </c>
      <c r="B96">
        <v>32</v>
      </c>
      <c r="C96" t="str" cm="1">
        <f t="array" ref="C96">_xlfn.IFS(
    Dataset[[#This Row],[Age]]&lt;=10, "0-10",
    AND(Dataset[[#This Row],[Age]]&gt;10, Dataset[[#This Row],[Age]]&lt;=18), "11-18",
    AND(Dataset[[#This Row],[Age]]&gt;18, Dataset[[#This Row],[Age]]&lt;=30), "19-30",
    AND(Dataset[[#This Row],[Age]]&gt;30, Dataset[[#This Row],[Age]]&lt;=60), "31-60",
    Dataset[[#This Row],[Age]]&gt;60, "above 60"
)</f>
        <v>31-60</v>
      </c>
      <c r="D96">
        <v>0</v>
      </c>
      <c r="E96">
        <v>0</v>
      </c>
      <c r="F96">
        <v>0</v>
      </c>
      <c r="G9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6" s="1" t="s">
        <v>43</v>
      </c>
      <c r="I96" s="1" t="s">
        <v>11</v>
      </c>
      <c r="J96" s="1" t="s">
        <v>17</v>
      </c>
      <c r="K96">
        <v>0</v>
      </c>
    </row>
    <row r="97" spans="1:11" x14ac:dyDescent="0.3">
      <c r="A97" s="1" t="s">
        <v>9</v>
      </c>
      <c r="B97">
        <v>26</v>
      </c>
      <c r="C97" t="str" cm="1">
        <f t="array" ref="C97">_xlfn.IFS(
    Dataset[[#This Row],[Age]]&lt;=10, "0-10",
    AND(Dataset[[#This Row],[Age]]&gt;10, Dataset[[#This Row],[Age]]&lt;=18), "11-18",
    AND(Dataset[[#This Row],[Age]]&gt;18, Dataset[[#This Row],[Age]]&lt;=30), "19-30",
    AND(Dataset[[#This Row],[Age]]&gt;30, Dataset[[#This Row],[Age]]&lt;=60), "31-60",
    Dataset[[#This Row],[Age]]&gt;60, "above 60"
)</f>
        <v>19-30</v>
      </c>
      <c r="D97">
        <v>0</v>
      </c>
      <c r="E97">
        <v>0</v>
      </c>
      <c r="F97">
        <v>0</v>
      </c>
      <c r="G9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7" s="1" t="s">
        <v>38</v>
      </c>
      <c r="I97" s="1" t="s">
        <v>15</v>
      </c>
      <c r="J97" s="1" t="s">
        <v>12</v>
      </c>
      <c r="K97">
        <v>0</v>
      </c>
    </row>
    <row r="98" spans="1:11" x14ac:dyDescent="0.3">
      <c r="A98" s="1" t="s">
        <v>9</v>
      </c>
      <c r="B98">
        <v>58</v>
      </c>
      <c r="C98" t="str" cm="1">
        <f t="array" ref="C98">_xlfn.IFS(
    Dataset[[#This Row],[Age]]&lt;=10, "0-10",
    AND(Dataset[[#This Row],[Age]]&gt;10, Dataset[[#This Row],[Age]]&lt;=18), "11-18",
    AND(Dataset[[#This Row],[Age]]&gt;18, Dataset[[#This Row],[Age]]&lt;=30), "19-30",
    AND(Dataset[[#This Row],[Age]]&gt;30, Dataset[[#This Row],[Age]]&lt;=60), "31-60",
    Dataset[[#This Row],[Age]]&gt;60, "above 60"
)</f>
        <v>31-60</v>
      </c>
      <c r="D98">
        <v>1</v>
      </c>
      <c r="E98">
        <v>1</v>
      </c>
      <c r="F98">
        <v>1</v>
      </c>
      <c r="G9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8" s="1" t="s">
        <v>50</v>
      </c>
      <c r="I98" s="1" t="s">
        <v>11</v>
      </c>
      <c r="J98" s="1" t="s">
        <v>12</v>
      </c>
      <c r="K98">
        <v>1</v>
      </c>
    </row>
    <row r="99" spans="1:11" x14ac:dyDescent="0.3">
      <c r="A99" s="1" t="s">
        <v>9</v>
      </c>
      <c r="B99">
        <v>23</v>
      </c>
      <c r="C99" t="str" cm="1">
        <f t="array" ref="C99">_xlfn.IFS(
    Dataset[[#This Row],[Age]]&lt;=10, "0-10",
    AND(Dataset[[#This Row],[Age]]&gt;10, Dataset[[#This Row],[Age]]&lt;=18), "11-18",
    AND(Dataset[[#This Row],[Age]]&gt;18, Dataset[[#This Row],[Age]]&lt;=30), "19-30",
    AND(Dataset[[#This Row],[Age]]&gt;30, Dataset[[#This Row],[Age]]&lt;=60), "31-60",
    Dataset[[#This Row],[Age]]&gt;60, "above 60"
)</f>
        <v>19-30</v>
      </c>
      <c r="D99">
        <v>1</v>
      </c>
      <c r="E99">
        <v>1</v>
      </c>
      <c r="F99">
        <v>0</v>
      </c>
      <c r="G9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9" s="1" t="s">
        <v>36</v>
      </c>
      <c r="I99" s="1" t="s">
        <v>15</v>
      </c>
      <c r="J99" s="1" t="s">
        <v>22</v>
      </c>
      <c r="K99">
        <v>1</v>
      </c>
    </row>
    <row r="100" spans="1:11" x14ac:dyDescent="0.3">
      <c r="A100" s="1" t="s">
        <v>13</v>
      </c>
      <c r="B100">
        <v>30</v>
      </c>
      <c r="C100" t="str" cm="1">
        <f t="array" ref="C100">_xlfn.IFS(
    Dataset[[#This Row],[Age]]&lt;=10, "0-10",
    AND(Dataset[[#This Row],[Age]]&gt;10, Dataset[[#This Row],[Age]]&lt;=18), "11-18",
    AND(Dataset[[#This Row],[Age]]&gt;18, Dataset[[#This Row],[Age]]&lt;=30), "19-30",
    AND(Dataset[[#This Row],[Age]]&gt;30, Dataset[[#This Row],[Age]]&lt;=60), "31-60",
    Dataset[[#This Row],[Age]]&gt;60, "above 60"
)</f>
        <v>19-30</v>
      </c>
      <c r="D100">
        <v>0</v>
      </c>
      <c r="E100">
        <v>0</v>
      </c>
      <c r="F100">
        <v>1</v>
      </c>
      <c r="G10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00" s="1" t="s">
        <v>27</v>
      </c>
      <c r="I100" s="1" t="s">
        <v>11</v>
      </c>
      <c r="J100" s="1" t="s">
        <v>22</v>
      </c>
      <c r="K100">
        <v>0</v>
      </c>
    </row>
    <row r="101" spans="1:11" x14ac:dyDescent="0.3">
      <c r="A101" s="1" t="s">
        <v>9</v>
      </c>
      <c r="B101">
        <v>62</v>
      </c>
      <c r="C101" t="str" cm="1">
        <f t="array" ref="C101">_xlfn.IFS(
    Dataset[[#This Row],[Age]]&lt;=10, "0-10",
    AND(Dataset[[#This Row],[Age]]&gt;10, Dataset[[#This Row],[Age]]&lt;=18), "11-18",
    AND(Dataset[[#This Row],[Age]]&gt;18, Dataset[[#This Row],[Age]]&lt;=30), "19-30",
    AND(Dataset[[#This Row],[Age]]&gt;30, Dataset[[#This Row],[Age]]&lt;=60), "31-60",
    Dataset[[#This Row],[Age]]&gt;60, "above 60"
)</f>
        <v>above 60</v>
      </c>
      <c r="D101">
        <v>0</v>
      </c>
      <c r="E101">
        <v>0</v>
      </c>
      <c r="F101">
        <v>0</v>
      </c>
      <c r="G10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01" s="1" t="s">
        <v>50</v>
      </c>
      <c r="I101" s="1" t="s">
        <v>15</v>
      </c>
      <c r="J101" s="1" t="s">
        <v>22</v>
      </c>
      <c r="K101">
        <v>0</v>
      </c>
    </row>
    <row r="102" spans="1:11" x14ac:dyDescent="0.3">
      <c r="A102" s="1" t="s">
        <v>9</v>
      </c>
      <c r="B102">
        <v>34</v>
      </c>
      <c r="C102" t="str" cm="1">
        <f t="array" ref="C102">_xlfn.IFS(
    Dataset[[#This Row],[Age]]&lt;=10, "0-10",
    AND(Dataset[[#This Row],[Age]]&gt;10, Dataset[[#This Row],[Age]]&lt;=18), "11-18",
    AND(Dataset[[#This Row],[Age]]&gt;18, Dataset[[#This Row],[Age]]&lt;=30), "19-30",
    AND(Dataset[[#This Row],[Age]]&gt;30, Dataset[[#This Row],[Age]]&lt;=60), "31-60",
    Dataset[[#This Row],[Age]]&gt;60, "above 60"
)</f>
        <v>31-60</v>
      </c>
      <c r="D102">
        <v>0</v>
      </c>
      <c r="E102">
        <v>0</v>
      </c>
      <c r="F102">
        <v>0</v>
      </c>
      <c r="G10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02" s="1" t="s">
        <v>40</v>
      </c>
      <c r="I102" s="1" t="s">
        <v>11</v>
      </c>
      <c r="J102" s="1" t="s">
        <v>17</v>
      </c>
      <c r="K102">
        <v>0</v>
      </c>
    </row>
    <row r="103" spans="1:11" x14ac:dyDescent="0.3">
      <c r="A103" s="1" t="s">
        <v>9</v>
      </c>
      <c r="B103">
        <v>58</v>
      </c>
      <c r="C103" t="str" cm="1">
        <f t="array" ref="C103">_xlfn.IFS(
    Dataset[[#This Row],[Age]]&lt;=10, "0-10",
    AND(Dataset[[#This Row],[Age]]&gt;10, Dataset[[#This Row],[Age]]&lt;=18), "11-18",
    AND(Dataset[[#This Row],[Age]]&gt;18, Dataset[[#This Row],[Age]]&lt;=30), "19-30",
    AND(Dataset[[#This Row],[Age]]&gt;30, Dataset[[#This Row],[Age]]&lt;=60), "31-60",
    Dataset[[#This Row],[Age]]&gt;60, "above 60"
)</f>
        <v>31-60</v>
      </c>
      <c r="D103">
        <v>0</v>
      </c>
      <c r="E103">
        <v>0</v>
      </c>
      <c r="F103">
        <v>0</v>
      </c>
      <c r="G10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03" s="1" t="s">
        <v>20</v>
      </c>
      <c r="I103" s="1" t="s">
        <v>15</v>
      </c>
      <c r="J103" s="1" t="s">
        <v>17</v>
      </c>
      <c r="K103">
        <v>0</v>
      </c>
    </row>
    <row r="104" spans="1:11" x14ac:dyDescent="0.3">
      <c r="A104" s="1" t="s">
        <v>9</v>
      </c>
      <c r="B104">
        <v>51</v>
      </c>
      <c r="C104" t="str" cm="1">
        <f t="array" ref="C104">_xlfn.IFS(
    Dataset[[#This Row],[Age]]&lt;=10, "0-10",
    AND(Dataset[[#This Row],[Age]]&gt;10, Dataset[[#This Row],[Age]]&lt;=18), "11-18",
    AND(Dataset[[#This Row],[Age]]&gt;18, Dataset[[#This Row],[Age]]&lt;=30), "19-30",
    AND(Dataset[[#This Row],[Age]]&gt;30, Dataset[[#This Row],[Age]]&lt;=60), "31-60",
    Dataset[[#This Row],[Age]]&gt;60, "above 60"
)</f>
        <v>31-60</v>
      </c>
      <c r="D104">
        <v>0</v>
      </c>
      <c r="E104">
        <v>0</v>
      </c>
      <c r="F104">
        <v>1</v>
      </c>
      <c r="G10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04" s="1" t="s">
        <v>28</v>
      </c>
      <c r="I104" s="1" t="s">
        <v>11</v>
      </c>
      <c r="J104" s="1" t="s">
        <v>12</v>
      </c>
      <c r="K104">
        <v>0</v>
      </c>
    </row>
    <row r="105" spans="1:11" x14ac:dyDescent="0.3">
      <c r="A105" s="1" t="s">
        <v>9</v>
      </c>
      <c r="B105">
        <v>50</v>
      </c>
      <c r="C105" t="str" cm="1">
        <f t="array" ref="C105">_xlfn.IFS(
    Dataset[[#This Row],[Age]]&lt;=10, "0-10",
    AND(Dataset[[#This Row],[Age]]&gt;10, Dataset[[#This Row],[Age]]&lt;=18), "11-18",
    AND(Dataset[[#This Row],[Age]]&gt;18, Dataset[[#This Row],[Age]]&lt;=30), "19-30",
    AND(Dataset[[#This Row],[Age]]&gt;30, Dataset[[#This Row],[Age]]&lt;=60), "31-60",
    Dataset[[#This Row],[Age]]&gt;60, "above 60"
)</f>
        <v>31-60</v>
      </c>
      <c r="D105">
        <v>1</v>
      </c>
      <c r="E105">
        <v>1</v>
      </c>
      <c r="F105">
        <v>0</v>
      </c>
      <c r="G10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05" s="1" t="s">
        <v>37</v>
      </c>
      <c r="I105" s="1" t="s">
        <v>15</v>
      </c>
      <c r="J105" s="1" t="s">
        <v>22</v>
      </c>
      <c r="K105">
        <v>1</v>
      </c>
    </row>
    <row r="106" spans="1:11" x14ac:dyDescent="0.3">
      <c r="A106" s="1" t="s">
        <v>9</v>
      </c>
      <c r="B106">
        <v>9</v>
      </c>
      <c r="C106" t="str" cm="1">
        <f t="array" ref="C106">_xlfn.IFS(
    Dataset[[#This Row],[Age]]&lt;=10, "0-10",
    AND(Dataset[[#This Row],[Age]]&gt;10, Dataset[[#This Row],[Age]]&lt;=18), "11-18",
    AND(Dataset[[#This Row],[Age]]&gt;18, Dataset[[#This Row],[Age]]&lt;=30), "19-30",
    AND(Dataset[[#This Row],[Age]]&gt;30, Dataset[[#This Row],[Age]]&lt;=60), "31-60",
    Dataset[[#This Row],[Age]]&gt;60, "above 60"
)</f>
        <v>0-10</v>
      </c>
      <c r="D106">
        <v>0</v>
      </c>
      <c r="E106">
        <v>0</v>
      </c>
      <c r="F106">
        <v>0</v>
      </c>
      <c r="G10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06" s="1" t="s">
        <v>14</v>
      </c>
      <c r="I106" s="1" t="s">
        <v>11</v>
      </c>
      <c r="J106" s="1" t="s">
        <v>22</v>
      </c>
      <c r="K106">
        <v>0</v>
      </c>
    </row>
    <row r="107" spans="1:11" x14ac:dyDescent="0.3">
      <c r="A107" s="1" t="s">
        <v>9</v>
      </c>
      <c r="B107">
        <v>8</v>
      </c>
      <c r="C107" t="str" cm="1">
        <f t="array" ref="C107">_xlfn.IFS(
    Dataset[[#This Row],[Age]]&lt;=10, "0-10",
    AND(Dataset[[#This Row],[Age]]&gt;10, Dataset[[#This Row],[Age]]&lt;=18), "11-18",
    AND(Dataset[[#This Row],[Age]]&gt;18, Dataset[[#This Row],[Age]]&lt;=30), "19-30",
    AND(Dataset[[#This Row],[Age]]&gt;30, Dataset[[#This Row],[Age]]&lt;=60), "31-60",
    Dataset[[#This Row],[Age]]&gt;60, "above 60"
)</f>
        <v>0-10</v>
      </c>
      <c r="D107">
        <v>0</v>
      </c>
      <c r="E107">
        <v>0</v>
      </c>
      <c r="F107">
        <v>1</v>
      </c>
      <c r="G10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07" s="1" t="s">
        <v>47</v>
      </c>
      <c r="I107" s="1" t="s">
        <v>15</v>
      </c>
      <c r="J107" s="1" t="s">
        <v>17</v>
      </c>
      <c r="K107">
        <v>0</v>
      </c>
    </row>
    <row r="108" spans="1:11" x14ac:dyDescent="0.3">
      <c r="A108" s="1" t="s">
        <v>13</v>
      </c>
      <c r="B108">
        <v>45</v>
      </c>
      <c r="C108" t="str" cm="1">
        <f t="array" ref="C108">_xlfn.IFS(
    Dataset[[#This Row],[Age]]&lt;=10, "0-10",
    AND(Dataset[[#This Row],[Age]]&gt;10, Dataset[[#This Row],[Age]]&lt;=18), "11-18",
    AND(Dataset[[#This Row],[Age]]&gt;18, Dataset[[#This Row],[Age]]&lt;=30), "19-30",
    AND(Dataset[[#This Row],[Age]]&gt;30, Dataset[[#This Row],[Age]]&lt;=60), "31-60",
    Dataset[[#This Row],[Age]]&gt;60, "above 60"
)</f>
        <v>31-60</v>
      </c>
      <c r="D108">
        <v>1</v>
      </c>
      <c r="E108">
        <v>1</v>
      </c>
      <c r="F108">
        <v>1</v>
      </c>
      <c r="G10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08" s="1" t="s">
        <v>31</v>
      </c>
      <c r="I108" s="1" t="s">
        <v>11</v>
      </c>
      <c r="J108" s="1" t="s">
        <v>12</v>
      </c>
      <c r="K108">
        <v>1</v>
      </c>
    </row>
    <row r="109" spans="1:11" x14ac:dyDescent="0.3">
      <c r="A109" s="1" t="s">
        <v>13</v>
      </c>
      <c r="B109">
        <v>27</v>
      </c>
      <c r="C109" t="str" cm="1">
        <f t="array" ref="C109">_xlfn.IFS(
    Dataset[[#This Row],[Age]]&lt;=10, "0-10",
    AND(Dataset[[#This Row],[Age]]&gt;10, Dataset[[#This Row],[Age]]&lt;=18), "11-18",
    AND(Dataset[[#This Row],[Age]]&gt;18, Dataset[[#This Row],[Age]]&lt;=30), "19-30",
    AND(Dataset[[#This Row],[Age]]&gt;30, Dataset[[#This Row],[Age]]&lt;=60), "31-60",
    Dataset[[#This Row],[Age]]&gt;60, "above 60"
)</f>
        <v>19-30</v>
      </c>
      <c r="D109">
        <v>1</v>
      </c>
      <c r="E109">
        <v>1</v>
      </c>
      <c r="F109">
        <v>1</v>
      </c>
      <c r="G10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09" s="1" t="s">
        <v>24</v>
      </c>
      <c r="I109" s="1" t="s">
        <v>15</v>
      </c>
      <c r="J109" s="1" t="s">
        <v>17</v>
      </c>
      <c r="K109">
        <v>1</v>
      </c>
    </row>
    <row r="110" spans="1:11" x14ac:dyDescent="0.3">
      <c r="A110" s="1" t="s">
        <v>9</v>
      </c>
      <c r="B110">
        <v>31</v>
      </c>
      <c r="C110" t="str" cm="1">
        <f t="array" ref="C110">_xlfn.IFS(
    Dataset[[#This Row],[Age]]&lt;=10, "0-10",
    AND(Dataset[[#This Row],[Age]]&gt;10, Dataset[[#This Row],[Age]]&lt;=18), "11-18",
    AND(Dataset[[#This Row],[Age]]&gt;18, Dataset[[#This Row],[Age]]&lt;=30), "19-30",
    AND(Dataset[[#This Row],[Age]]&gt;30, Dataset[[#This Row],[Age]]&lt;=60), "31-60",
    Dataset[[#This Row],[Age]]&gt;60, "above 60"
)</f>
        <v>31-60</v>
      </c>
      <c r="D110">
        <v>1</v>
      </c>
      <c r="E110">
        <v>1</v>
      </c>
      <c r="F110">
        <v>1</v>
      </c>
      <c r="G11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10" s="1" t="s">
        <v>42</v>
      </c>
      <c r="I110" s="1" t="s">
        <v>11</v>
      </c>
      <c r="J110" s="1" t="s">
        <v>12</v>
      </c>
      <c r="K110">
        <v>1</v>
      </c>
    </row>
    <row r="111" spans="1:11" x14ac:dyDescent="0.3">
      <c r="A111" s="1" t="s">
        <v>9</v>
      </c>
      <c r="B111">
        <v>44</v>
      </c>
      <c r="C111" t="str" cm="1">
        <f t="array" ref="C111">_xlfn.IFS(
    Dataset[[#This Row],[Age]]&lt;=10, "0-10",
    AND(Dataset[[#This Row],[Age]]&gt;10, Dataset[[#This Row],[Age]]&lt;=18), "11-18",
    AND(Dataset[[#This Row],[Age]]&gt;18, Dataset[[#This Row],[Age]]&lt;=30), "19-30",
    AND(Dataset[[#This Row],[Age]]&gt;30, Dataset[[#This Row],[Age]]&lt;=60), "31-60",
    Dataset[[#This Row],[Age]]&gt;60, "above 60"
)</f>
        <v>31-60</v>
      </c>
      <c r="D111">
        <v>0</v>
      </c>
      <c r="E111">
        <v>0</v>
      </c>
      <c r="F111">
        <v>0</v>
      </c>
      <c r="G11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11" s="1" t="s">
        <v>19</v>
      </c>
      <c r="I111" s="1" t="s">
        <v>15</v>
      </c>
      <c r="J111" s="1" t="s">
        <v>17</v>
      </c>
      <c r="K111">
        <v>0</v>
      </c>
    </row>
    <row r="112" spans="1:11" x14ac:dyDescent="0.3">
      <c r="A112" s="1" t="s">
        <v>9</v>
      </c>
      <c r="B112">
        <v>39</v>
      </c>
      <c r="C112" t="str" cm="1">
        <f t="array" ref="C112">_xlfn.IFS(
    Dataset[[#This Row],[Age]]&lt;=10, "0-10",
    AND(Dataset[[#This Row],[Age]]&gt;10, Dataset[[#This Row],[Age]]&lt;=18), "11-18",
    AND(Dataset[[#This Row],[Age]]&gt;18, Dataset[[#This Row],[Age]]&lt;=30), "19-30",
    AND(Dataset[[#This Row],[Age]]&gt;30, Dataset[[#This Row],[Age]]&lt;=60), "31-60",
    Dataset[[#This Row],[Age]]&gt;60, "above 60"
)</f>
        <v>31-60</v>
      </c>
      <c r="D112">
        <v>1</v>
      </c>
      <c r="E112">
        <v>1</v>
      </c>
      <c r="F112">
        <v>0</v>
      </c>
      <c r="G11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12" s="1" t="s">
        <v>46</v>
      </c>
      <c r="I112" s="1" t="s">
        <v>11</v>
      </c>
      <c r="J112" s="1" t="s">
        <v>22</v>
      </c>
      <c r="K112">
        <v>1</v>
      </c>
    </row>
    <row r="113" spans="1:11" x14ac:dyDescent="0.3">
      <c r="A113" s="1" t="s">
        <v>9</v>
      </c>
      <c r="B113">
        <v>9</v>
      </c>
      <c r="C113" t="str" cm="1">
        <f t="array" ref="C113">_xlfn.IFS(
    Dataset[[#This Row],[Age]]&lt;=10, "0-10",
    AND(Dataset[[#This Row],[Age]]&gt;10, Dataset[[#This Row],[Age]]&lt;=18), "11-18",
    AND(Dataset[[#This Row],[Age]]&gt;18, Dataset[[#This Row],[Age]]&lt;=30), "19-30",
    AND(Dataset[[#This Row],[Age]]&gt;30, Dataset[[#This Row],[Age]]&lt;=60), "31-60",
    Dataset[[#This Row],[Age]]&gt;60, "above 60"
)</f>
        <v>0-10</v>
      </c>
      <c r="D113">
        <v>1</v>
      </c>
      <c r="E113">
        <v>1</v>
      </c>
      <c r="F113">
        <v>0</v>
      </c>
      <c r="G11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13" s="1" t="s">
        <v>51</v>
      </c>
      <c r="I113" s="1" t="s">
        <v>15</v>
      </c>
      <c r="J113" s="1" t="s">
        <v>22</v>
      </c>
      <c r="K113">
        <v>1</v>
      </c>
    </row>
    <row r="114" spans="1:11" x14ac:dyDescent="0.3">
      <c r="A114" s="1" t="s">
        <v>13</v>
      </c>
      <c r="B114">
        <v>51</v>
      </c>
      <c r="C114" t="str" cm="1">
        <f t="array" ref="C114">_xlfn.IFS(
    Dataset[[#This Row],[Age]]&lt;=10, "0-10",
    AND(Dataset[[#This Row],[Age]]&gt;10, Dataset[[#This Row],[Age]]&lt;=18), "11-18",
    AND(Dataset[[#This Row],[Age]]&gt;18, Dataset[[#This Row],[Age]]&lt;=30), "19-30",
    AND(Dataset[[#This Row],[Age]]&gt;30, Dataset[[#This Row],[Age]]&lt;=60), "31-60",
    Dataset[[#This Row],[Age]]&gt;60, "above 60"
)</f>
        <v>31-60</v>
      </c>
      <c r="D114">
        <v>1</v>
      </c>
      <c r="E114">
        <v>1</v>
      </c>
      <c r="F114">
        <v>0</v>
      </c>
      <c r="G11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14" s="1" t="s">
        <v>36</v>
      </c>
      <c r="I114" s="1" t="s">
        <v>11</v>
      </c>
      <c r="J114" s="1" t="s">
        <v>17</v>
      </c>
      <c r="K114">
        <v>1</v>
      </c>
    </row>
    <row r="115" spans="1:11" x14ac:dyDescent="0.3">
      <c r="A115" s="1" t="s">
        <v>13</v>
      </c>
      <c r="B115">
        <v>24</v>
      </c>
      <c r="C115" t="str" cm="1">
        <f t="array" ref="C115">_xlfn.IFS(
    Dataset[[#This Row],[Age]]&lt;=10, "0-10",
    AND(Dataset[[#This Row],[Age]]&gt;10, Dataset[[#This Row],[Age]]&lt;=18), "11-18",
    AND(Dataset[[#This Row],[Age]]&gt;18, Dataset[[#This Row],[Age]]&lt;=30), "19-30",
    AND(Dataset[[#This Row],[Age]]&gt;30, Dataset[[#This Row],[Age]]&lt;=60), "31-60",
    Dataset[[#This Row],[Age]]&gt;60, "above 60"
)</f>
        <v>19-30</v>
      </c>
      <c r="D115">
        <v>0</v>
      </c>
      <c r="E115">
        <v>0</v>
      </c>
      <c r="F115">
        <v>0</v>
      </c>
      <c r="G11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15" s="1" t="s">
        <v>19</v>
      </c>
      <c r="I115" s="1" t="s">
        <v>15</v>
      </c>
      <c r="J115" s="1" t="s">
        <v>17</v>
      </c>
      <c r="K115">
        <v>0</v>
      </c>
    </row>
    <row r="116" spans="1:11" x14ac:dyDescent="0.3">
      <c r="A116" s="1" t="s">
        <v>13</v>
      </c>
      <c r="B116">
        <v>46</v>
      </c>
      <c r="C116" t="str" cm="1">
        <f t="array" ref="C116">_xlfn.IFS(
    Dataset[[#This Row],[Age]]&lt;=10, "0-10",
    AND(Dataset[[#This Row],[Age]]&gt;10, Dataset[[#This Row],[Age]]&lt;=18), "11-18",
    AND(Dataset[[#This Row],[Age]]&gt;18, Dataset[[#This Row],[Age]]&lt;=30), "19-30",
    AND(Dataset[[#This Row],[Age]]&gt;30, Dataset[[#This Row],[Age]]&lt;=60), "31-60",
    Dataset[[#This Row],[Age]]&gt;60, "above 60"
)</f>
        <v>31-60</v>
      </c>
      <c r="D116">
        <v>1</v>
      </c>
      <c r="E116">
        <v>1</v>
      </c>
      <c r="F116">
        <v>0</v>
      </c>
      <c r="G11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16" s="1" t="s">
        <v>37</v>
      </c>
      <c r="I116" s="1" t="s">
        <v>11</v>
      </c>
      <c r="J116" s="1" t="s">
        <v>22</v>
      </c>
      <c r="K116">
        <v>1</v>
      </c>
    </row>
    <row r="117" spans="1:11" x14ac:dyDescent="0.3">
      <c r="A117" s="1" t="s">
        <v>13</v>
      </c>
      <c r="B117">
        <v>39</v>
      </c>
      <c r="C117" t="str" cm="1">
        <f t="array" ref="C117">_xlfn.IFS(
    Dataset[[#This Row],[Age]]&lt;=10, "0-10",
    AND(Dataset[[#This Row],[Age]]&gt;10, Dataset[[#This Row],[Age]]&lt;=18), "11-18",
    AND(Dataset[[#This Row],[Age]]&gt;18, Dataset[[#This Row],[Age]]&lt;=30), "19-30",
    AND(Dataset[[#This Row],[Age]]&gt;30, Dataset[[#This Row],[Age]]&lt;=60), "31-60",
    Dataset[[#This Row],[Age]]&gt;60, "above 60"
)</f>
        <v>31-60</v>
      </c>
      <c r="D117">
        <v>1</v>
      </c>
      <c r="E117">
        <v>1</v>
      </c>
      <c r="F117">
        <v>0</v>
      </c>
      <c r="G11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17" s="1" t="s">
        <v>16</v>
      </c>
      <c r="I117" s="1" t="s">
        <v>15</v>
      </c>
      <c r="J117" s="1" t="s">
        <v>12</v>
      </c>
      <c r="K117">
        <v>1</v>
      </c>
    </row>
    <row r="118" spans="1:11" x14ac:dyDescent="0.3">
      <c r="A118" s="1" t="s">
        <v>9</v>
      </c>
      <c r="B118">
        <v>14</v>
      </c>
      <c r="C118" t="str" cm="1">
        <f t="array" ref="C118">_xlfn.IFS(
    Dataset[[#This Row],[Age]]&lt;=10, "0-10",
    AND(Dataset[[#This Row],[Age]]&gt;10, Dataset[[#This Row],[Age]]&lt;=18), "11-18",
    AND(Dataset[[#This Row],[Age]]&gt;18, Dataset[[#This Row],[Age]]&lt;=30), "19-30",
    AND(Dataset[[#This Row],[Age]]&gt;30, Dataset[[#This Row],[Age]]&lt;=60), "31-60",
    Dataset[[#This Row],[Age]]&gt;60, "above 60"
)</f>
        <v>11-18</v>
      </c>
      <c r="D118">
        <v>1</v>
      </c>
      <c r="E118">
        <v>1</v>
      </c>
      <c r="F118">
        <v>0</v>
      </c>
      <c r="G11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18" s="1" t="s">
        <v>33</v>
      </c>
      <c r="I118" s="1" t="s">
        <v>11</v>
      </c>
      <c r="J118" s="1" t="s">
        <v>12</v>
      </c>
      <c r="K118">
        <v>1</v>
      </c>
    </row>
    <row r="119" spans="1:11" x14ac:dyDescent="0.3">
      <c r="A119" s="1" t="s">
        <v>13</v>
      </c>
      <c r="B119">
        <v>42</v>
      </c>
      <c r="C119" t="str" cm="1">
        <f t="array" ref="C119">_xlfn.IFS(
    Dataset[[#This Row],[Age]]&lt;=10, "0-10",
    AND(Dataset[[#This Row],[Age]]&gt;10, Dataset[[#This Row],[Age]]&lt;=18), "11-18",
    AND(Dataset[[#This Row],[Age]]&gt;18, Dataset[[#This Row],[Age]]&lt;=30), "19-30",
    AND(Dataset[[#This Row],[Age]]&gt;30, Dataset[[#This Row],[Age]]&lt;=60), "31-60",
    Dataset[[#This Row],[Age]]&gt;60, "above 60"
)</f>
        <v>31-60</v>
      </c>
      <c r="D119">
        <v>1</v>
      </c>
      <c r="E119">
        <v>1</v>
      </c>
      <c r="F119">
        <v>0</v>
      </c>
      <c r="G11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19" s="1" t="s">
        <v>51</v>
      </c>
      <c r="I119" s="1" t="s">
        <v>15</v>
      </c>
      <c r="J119" s="1" t="s">
        <v>17</v>
      </c>
      <c r="K119">
        <v>1</v>
      </c>
    </row>
    <row r="120" spans="1:11" x14ac:dyDescent="0.3">
      <c r="A120" s="1" t="s">
        <v>13</v>
      </c>
      <c r="B120">
        <v>37</v>
      </c>
      <c r="C120" t="str" cm="1">
        <f t="array" ref="C120">_xlfn.IFS(
    Dataset[[#This Row],[Age]]&lt;=10, "0-10",
    AND(Dataset[[#This Row],[Age]]&gt;10, Dataset[[#This Row],[Age]]&lt;=18), "11-18",
    AND(Dataset[[#This Row],[Age]]&gt;18, Dataset[[#This Row],[Age]]&lt;=30), "19-30",
    AND(Dataset[[#This Row],[Age]]&gt;30, Dataset[[#This Row],[Age]]&lt;=60), "31-60",
    Dataset[[#This Row],[Age]]&gt;60, "above 60"
)</f>
        <v>31-60</v>
      </c>
      <c r="D120">
        <v>1</v>
      </c>
      <c r="E120">
        <v>1</v>
      </c>
      <c r="F120">
        <v>0</v>
      </c>
      <c r="G12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20" s="1" t="s">
        <v>31</v>
      </c>
      <c r="I120" s="1" t="s">
        <v>11</v>
      </c>
      <c r="J120" s="1" t="s">
        <v>22</v>
      </c>
      <c r="K120">
        <v>1</v>
      </c>
    </row>
    <row r="121" spans="1:11" x14ac:dyDescent="0.3">
      <c r="A121" s="1" t="s">
        <v>13</v>
      </c>
      <c r="B121">
        <v>31</v>
      </c>
      <c r="C121" t="str" cm="1">
        <f t="array" ref="C121">_xlfn.IFS(
    Dataset[[#This Row],[Age]]&lt;=10, "0-10",
    AND(Dataset[[#This Row],[Age]]&gt;10, Dataset[[#This Row],[Age]]&lt;=18), "11-18",
    AND(Dataset[[#This Row],[Age]]&gt;18, Dataset[[#This Row],[Age]]&lt;=30), "19-30",
    AND(Dataset[[#This Row],[Age]]&gt;30, Dataset[[#This Row],[Age]]&lt;=60), "31-60",
    Dataset[[#This Row],[Age]]&gt;60, "above 60"
)</f>
        <v>31-60</v>
      </c>
      <c r="D121">
        <v>1</v>
      </c>
      <c r="E121">
        <v>1</v>
      </c>
      <c r="F121">
        <v>0</v>
      </c>
      <c r="G12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21" s="1" t="s">
        <v>32</v>
      </c>
      <c r="I121" s="1" t="s">
        <v>15</v>
      </c>
      <c r="J121" s="1" t="s">
        <v>12</v>
      </c>
      <c r="K121">
        <v>1</v>
      </c>
    </row>
    <row r="122" spans="1:11" x14ac:dyDescent="0.3">
      <c r="A122" s="1" t="s">
        <v>13</v>
      </c>
      <c r="B122">
        <v>57</v>
      </c>
      <c r="C122" t="str" cm="1">
        <f t="array" ref="C122">_xlfn.IFS(
    Dataset[[#This Row],[Age]]&lt;=10, "0-10",
    AND(Dataset[[#This Row],[Age]]&gt;10, Dataset[[#This Row],[Age]]&lt;=18), "11-18",
    AND(Dataset[[#This Row],[Age]]&gt;18, Dataset[[#This Row],[Age]]&lt;=30), "19-30",
    AND(Dataset[[#This Row],[Age]]&gt;30, Dataset[[#This Row],[Age]]&lt;=60), "31-60",
    Dataset[[#This Row],[Age]]&gt;60, "above 60"
)</f>
        <v>31-60</v>
      </c>
      <c r="D122">
        <v>0</v>
      </c>
      <c r="E122">
        <v>0</v>
      </c>
      <c r="F122">
        <v>0</v>
      </c>
      <c r="G12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22" s="1" t="s">
        <v>30</v>
      </c>
      <c r="I122" s="1" t="s">
        <v>11</v>
      </c>
      <c r="J122" s="1" t="s">
        <v>22</v>
      </c>
      <c r="K122">
        <v>0</v>
      </c>
    </row>
    <row r="123" spans="1:11" x14ac:dyDescent="0.3">
      <c r="A123" s="1" t="s">
        <v>9</v>
      </c>
      <c r="B123">
        <v>30</v>
      </c>
      <c r="C123" t="str" cm="1">
        <f t="array" ref="C123">_xlfn.IFS(
    Dataset[[#This Row],[Age]]&lt;=10, "0-10",
    AND(Dataset[[#This Row],[Age]]&gt;10, Dataset[[#This Row],[Age]]&lt;=18), "11-18",
    AND(Dataset[[#This Row],[Age]]&gt;18, Dataset[[#This Row],[Age]]&lt;=30), "19-30",
    AND(Dataset[[#This Row],[Age]]&gt;30, Dataset[[#This Row],[Age]]&lt;=60), "31-60",
    Dataset[[#This Row],[Age]]&gt;60, "above 60"
)</f>
        <v>19-30</v>
      </c>
      <c r="D123">
        <v>0</v>
      </c>
      <c r="E123">
        <v>0</v>
      </c>
      <c r="F123">
        <v>1</v>
      </c>
      <c r="G12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23" s="1" t="s">
        <v>44</v>
      </c>
      <c r="I123" s="1" t="s">
        <v>15</v>
      </c>
      <c r="J123" s="1" t="s">
        <v>12</v>
      </c>
      <c r="K123">
        <v>0</v>
      </c>
    </row>
    <row r="124" spans="1:11" x14ac:dyDescent="0.3">
      <c r="A124" s="1" t="s">
        <v>9</v>
      </c>
      <c r="B124">
        <v>57</v>
      </c>
      <c r="C124" t="str" cm="1">
        <f t="array" ref="C124">_xlfn.IFS(
    Dataset[[#This Row],[Age]]&lt;=10, "0-10",
    AND(Dataset[[#This Row],[Age]]&gt;10, Dataset[[#This Row],[Age]]&lt;=18), "11-18",
    AND(Dataset[[#This Row],[Age]]&gt;18, Dataset[[#This Row],[Age]]&lt;=30), "19-30",
    AND(Dataset[[#This Row],[Age]]&gt;30, Dataset[[#This Row],[Age]]&lt;=60), "31-60",
    Dataset[[#This Row],[Age]]&gt;60, "above 60"
)</f>
        <v>31-60</v>
      </c>
      <c r="D124">
        <v>1</v>
      </c>
      <c r="E124">
        <v>1</v>
      </c>
      <c r="F124">
        <v>1</v>
      </c>
      <c r="G12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24" s="1" t="s">
        <v>18</v>
      </c>
      <c r="I124" s="1" t="s">
        <v>11</v>
      </c>
      <c r="J124" s="1" t="s">
        <v>22</v>
      </c>
      <c r="K124">
        <v>1</v>
      </c>
    </row>
    <row r="125" spans="1:11" x14ac:dyDescent="0.3">
      <c r="A125" s="1" t="s">
        <v>13</v>
      </c>
      <c r="B125">
        <v>17</v>
      </c>
      <c r="C125" t="str" cm="1">
        <f t="array" ref="C125">_xlfn.IFS(
    Dataset[[#This Row],[Age]]&lt;=10, "0-10",
    AND(Dataset[[#This Row],[Age]]&gt;10, Dataset[[#This Row],[Age]]&lt;=18), "11-18",
    AND(Dataset[[#This Row],[Age]]&gt;18, Dataset[[#This Row],[Age]]&lt;=30), "19-30",
    AND(Dataset[[#This Row],[Age]]&gt;30, Dataset[[#This Row],[Age]]&lt;=60), "31-60",
    Dataset[[#This Row],[Age]]&gt;60, "above 60"
)</f>
        <v>11-18</v>
      </c>
      <c r="D125">
        <v>0</v>
      </c>
      <c r="E125">
        <v>0</v>
      </c>
      <c r="F125">
        <v>0</v>
      </c>
      <c r="G12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25" s="1" t="s">
        <v>26</v>
      </c>
      <c r="I125" s="1" t="s">
        <v>15</v>
      </c>
      <c r="J125" s="1" t="s">
        <v>17</v>
      </c>
      <c r="K125">
        <v>0</v>
      </c>
    </row>
    <row r="126" spans="1:11" x14ac:dyDescent="0.3">
      <c r="A126" s="1" t="s">
        <v>9</v>
      </c>
      <c r="B126">
        <v>56</v>
      </c>
      <c r="C126" t="str" cm="1">
        <f t="array" ref="C126">_xlfn.IFS(
    Dataset[[#This Row],[Age]]&lt;=10, "0-10",
    AND(Dataset[[#This Row],[Age]]&gt;10, Dataset[[#This Row],[Age]]&lt;=18), "11-18",
    AND(Dataset[[#This Row],[Age]]&gt;18, Dataset[[#This Row],[Age]]&lt;=30), "19-30",
    AND(Dataset[[#This Row],[Age]]&gt;30, Dataset[[#This Row],[Age]]&lt;=60), "31-60",
    Dataset[[#This Row],[Age]]&gt;60, "above 60"
)</f>
        <v>31-60</v>
      </c>
      <c r="D126">
        <v>0</v>
      </c>
      <c r="E126">
        <v>0</v>
      </c>
      <c r="F126">
        <v>0</v>
      </c>
      <c r="G12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26" s="1" t="s">
        <v>48</v>
      </c>
      <c r="I126" s="1" t="s">
        <v>11</v>
      </c>
      <c r="J126" s="1" t="s">
        <v>22</v>
      </c>
      <c r="K126">
        <v>0</v>
      </c>
    </row>
    <row r="127" spans="1:11" x14ac:dyDescent="0.3">
      <c r="A127" s="1" t="s">
        <v>13</v>
      </c>
      <c r="B127">
        <v>54</v>
      </c>
      <c r="C127" t="str" cm="1">
        <f t="array" ref="C127">_xlfn.IFS(
    Dataset[[#This Row],[Age]]&lt;=10, "0-10",
    AND(Dataset[[#This Row],[Age]]&gt;10, Dataset[[#This Row],[Age]]&lt;=18), "11-18",
    AND(Dataset[[#This Row],[Age]]&gt;18, Dataset[[#This Row],[Age]]&lt;=30), "19-30",
    AND(Dataset[[#This Row],[Age]]&gt;30, Dataset[[#This Row],[Age]]&lt;=60), "31-60",
    Dataset[[#This Row],[Age]]&gt;60, "above 60"
)</f>
        <v>31-60</v>
      </c>
      <c r="D127">
        <v>0</v>
      </c>
      <c r="E127">
        <v>0</v>
      </c>
      <c r="F127">
        <v>0</v>
      </c>
      <c r="G12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27" s="1" t="s">
        <v>35</v>
      </c>
      <c r="I127" s="1" t="s">
        <v>15</v>
      </c>
      <c r="J127" s="1" t="s">
        <v>17</v>
      </c>
      <c r="K127">
        <v>0</v>
      </c>
    </row>
    <row r="128" spans="1:11" x14ac:dyDescent="0.3">
      <c r="A128" s="1" t="s">
        <v>9</v>
      </c>
      <c r="B128">
        <v>22</v>
      </c>
      <c r="C128" t="str" cm="1">
        <f t="array" ref="C128">_xlfn.IFS(
    Dataset[[#This Row],[Age]]&lt;=10, "0-10",
    AND(Dataset[[#This Row],[Age]]&gt;10, Dataset[[#This Row],[Age]]&lt;=18), "11-18",
    AND(Dataset[[#This Row],[Age]]&gt;18, Dataset[[#This Row],[Age]]&lt;=30), "19-30",
    AND(Dataset[[#This Row],[Age]]&gt;30, Dataset[[#This Row],[Age]]&lt;=60), "31-60",
    Dataset[[#This Row],[Age]]&gt;60, "above 60"
)</f>
        <v>19-30</v>
      </c>
      <c r="D128">
        <v>0</v>
      </c>
      <c r="E128">
        <v>0</v>
      </c>
      <c r="F128">
        <v>1</v>
      </c>
      <c r="G12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28" s="1" t="s">
        <v>40</v>
      </c>
      <c r="I128" s="1" t="s">
        <v>11</v>
      </c>
      <c r="J128" s="1" t="s">
        <v>17</v>
      </c>
      <c r="K128">
        <v>0</v>
      </c>
    </row>
    <row r="129" spans="1:11" x14ac:dyDescent="0.3">
      <c r="A129" s="1" t="s">
        <v>9</v>
      </c>
      <c r="B129">
        <v>63</v>
      </c>
      <c r="C129" t="str" cm="1">
        <f t="array" ref="C129">_xlfn.IFS(
    Dataset[[#This Row],[Age]]&lt;=10, "0-10",
    AND(Dataset[[#This Row],[Age]]&gt;10, Dataset[[#This Row],[Age]]&lt;=18), "11-18",
    AND(Dataset[[#This Row],[Age]]&gt;18, Dataset[[#This Row],[Age]]&lt;=30), "19-30",
    AND(Dataset[[#This Row],[Age]]&gt;30, Dataset[[#This Row],[Age]]&lt;=60), "31-60",
    Dataset[[#This Row],[Age]]&gt;60, "above 60"
)</f>
        <v>above 60</v>
      </c>
      <c r="D129">
        <v>1</v>
      </c>
      <c r="E129">
        <v>1</v>
      </c>
      <c r="F129">
        <v>1</v>
      </c>
      <c r="G12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29" s="1" t="s">
        <v>42</v>
      </c>
      <c r="I129" s="1" t="s">
        <v>15</v>
      </c>
      <c r="J129" s="1" t="s">
        <v>17</v>
      </c>
      <c r="K129">
        <v>1</v>
      </c>
    </row>
    <row r="130" spans="1:11" x14ac:dyDescent="0.3">
      <c r="A130" s="1" t="s">
        <v>13</v>
      </c>
      <c r="B130">
        <v>54</v>
      </c>
      <c r="C130" t="str" cm="1">
        <f t="array" ref="C130">_xlfn.IFS(
    Dataset[[#This Row],[Age]]&lt;=10, "0-10",
    AND(Dataset[[#This Row],[Age]]&gt;10, Dataset[[#This Row],[Age]]&lt;=18), "11-18",
    AND(Dataset[[#This Row],[Age]]&gt;18, Dataset[[#This Row],[Age]]&lt;=30), "19-30",
    AND(Dataset[[#This Row],[Age]]&gt;30, Dataset[[#This Row],[Age]]&lt;=60), "31-60",
    Dataset[[#This Row],[Age]]&gt;60, "above 60"
)</f>
        <v>31-60</v>
      </c>
      <c r="D130">
        <v>0</v>
      </c>
      <c r="E130">
        <v>0</v>
      </c>
      <c r="F130">
        <v>1</v>
      </c>
      <c r="G13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30" s="1" t="s">
        <v>10</v>
      </c>
      <c r="I130" s="1" t="s">
        <v>11</v>
      </c>
      <c r="J130" s="1" t="s">
        <v>22</v>
      </c>
      <c r="K130">
        <v>0</v>
      </c>
    </row>
    <row r="131" spans="1:11" x14ac:dyDescent="0.3">
      <c r="A131" s="1" t="s">
        <v>13</v>
      </c>
      <c r="B131">
        <v>61</v>
      </c>
      <c r="C131" t="str" cm="1">
        <f t="array" ref="C131">_xlfn.IFS(
    Dataset[[#This Row],[Age]]&lt;=10, "0-10",
    AND(Dataset[[#This Row],[Age]]&gt;10, Dataset[[#This Row],[Age]]&lt;=18), "11-18",
    AND(Dataset[[#This Row],[Age]]&gt;18, Dataset[[#This Row],[Age]]&lt;=30), "19-30",
    AND(Dataset[[#This Row],[Age]]&gt;30, Dataset[[#This Row],[Age]]&lt;=60), "31-60",
    Dataset[[#This Row],[Age]]&gt;60, "above 60"
)</f>
        <v>above 60</v>
      </c>
      <c r="D131">
        <v>1</v>
      </c>
      <c r="E131">
        <v>1</v>
      </c>
      <c r="F131">
        <v>1</v>
      </c>
      <c r="G13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31" s="1" t="s">
        <v>34</v>
      </c>
      <c r="I131" s="1" t="s">
        <v>15</v>
      </c>
      <c r="J131" s="1" t="s">
        <v>22</v>
      </c>
      <c r="K131">
        <v>1</v>
      </c>
    </row>
    <row r="132" spans="1:11" x14ac:dyDescent="0.3">
      <c r="A132" s="1" t="s">
        <v>9</v>
      </c>
      <c r="B132">
        <v>47</v>
      </c>
      <c r="C132" t="str" cm="1">
        <f t="array" ref="C132">_xlfn.IFS(
    Dataset[[#This Row],[Age]]&lt;=10, "0-10",
    AND(Dataset[[#This Row],[Age]]&gt;10, Dataset[[#This Row],[Age]]&lt;=18), "11-18",
    AND(Dataset[[#This Row],[Age]]&gt;18, Dataset[[#This Row],[Age]]&lt;=30), "19-30",
    AND(Dataset[[#This Row],[Age]]&gt;30, Dataset[[#This Row],[Age]]&lt;=60), "31-60",
    Dataset[[#This Row],[Age]]&gt;60, "above 60"
)</f>
        <v>31-60</v>
      </c>
      <c r="D132">
        <v>1</v>
      </c>
      <c r="E132">
        <v>1</v>
      </c>
      <c r="F132">
        <v>1</v>
      </c>
      <c r="G13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32" s="1" t="s">
        <v>31</v>
      </c>
      <c r="I132" s="1" t="s">
        <v>11</v>
      </c>
      <c r="J132" s="1" t="s">
        <v>22</v>
      </c>
      <c r="K132">
        <v>1</v>
      </c>
    </row>
    <row r="133" spans="1:11" x14ac:dyDescent="0.3">
      <c r="A133" s="1" t="s">
        <v>13</v>
      </c>
      <c r="B133">
        <v>18</v>
      </c>
      <c r="C133" t="str" cm="1">
        <f t="array" ref="C133">_xlfn.IFS(
    Dataset[[#This Row],[Age]]&lt;=10, "0-10",
    AND(Dataset[[#This Row],[Age]]&gt;10, Dataset[[#This Row],[Age]]&lt;=18), "11-18",
    AND(Dataset[[#This Row],[Age]]&gt;18, Dataset[[#This Row],[Age]]&lt;=30), "19-30",
    AND(Dataset[[#This Row],[Age]]&gt;30, Dataset[[#This Row],[Age]]&lt;=60), "31-60",
    Dataset[[#This Row],[Age]]&gt;60, "above 60"
)</f>
        <v>11-18</v>
      </c>
      <c r="D133">
        <v>0</v>
      </c>
      <c r="E133">
        <v>0</v>
      </c>
      <c r="F133">
        <v>1</v>
      </c>
      <c r="G13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33" s="1" t="s">
        <v>18</v>
      </c>
      <c r="I133" s="1" t="s">
        <v>15</v>
      </c>
      <c r="J133" s="1" t="s">
        <v>17</v>
      </c>
      <c r="K133">
        <v>0</v>
      </c>
    </row>
    <row r="134" spans="1:11" x14ac:dyDescent="0.3">
      <c r="A134" s="1" t="s">
        <v>9</v>
      </c>
      <c r="B134">
        <v>24</v>
      </c>
      <c r="C134" t="str" cm="1">
        <f t="array" ref="C134">_xlfn.IFS(
    Dataset[[#This Row],[Age]]&lt;=10, "0-10",
    AND(Dataset[[#This Row],[Age]]&gt;10, Dataset[[#This Row],[Age]]&lt;=18), "11-18",
    AND(Dataset[[#This Row],[Age]]&gt;18, Dataset[[#This Row],[Age]]&lt;=30), "19-30",
    AND(Dataset[[#This Row],[Age]]&gt;30, Dataset[[#This Row],[Age]]&lt;=60), "31-60",
    Dataset[[#This Row],[Age]]&gt;60, "above 60"
)</f>
        <v>19-30</v>
      </c>
      <c r="D134">
        <v>1</v>
      </c>
      <c r="E134">
        <v>1</v>
      </c>
      <c r="F134">
        <v>0</v>
      </c>
      <c r="G13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34" s="1" t="s">
        <v>37</v>
      </c>
      <c r="I134" s="1" t="s">
        <v>11</v>
      </c>
      <c r="J134" s="1" t="s">
        <v>17</v>
      </c>
      <c r="K134">
        <v>1</v>
      </c>
    </row>
    <row r="135" spans="1:11" x14ac:dyDescent="0.3">
      <c r="A135" s="1" t="s">
        <v>9</v>
      </c>
      <c r="B135">
        <v>60</v>
      </c>
      <c r="C135" t="str" cm="1">
        <f t="array" ref="C135">_xlfn.IFS(
    Dataset[[#This Row],[Age]]&lt;=10, "0-10",
    AND(Dataset[[#This Row],[Age]]&gt;10, Dataset[[#This Row],[Age]]&lt;=18), "11-18",
    AND(Dataset[[#This Row],[Age]]&gt;18, Dataset[[#This Row],[Age]]&lt;=30), "19-30",
    AND(Dataset[[#This Row],[Age]]&gt;30, Dataset[[#This Row],[Age]]&lt;=60), "31-60",
    Dataset[[#This Row],[Age]]&gt;60, "above 60"
)</f>
        <v>31-60</v>
      </c>
      <c r="D135">
        <v>0</v>
      </c>
      <c r="E135">
        <v>0</v>
      </c>
      <c r="F135">
        <v>1</v>
      </c>
      <c r="G13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35" s="1" t="s">
        <v>38</v>
      </c>
      <c r="I135" s="1" t="s">
        <v>15</v>
      </c>
      <c r="J135" s="1" t="s">
        <v>17</v>
      </c>
      <c r="K135">
        <v>0</v>
      </c>
    </row>
    <row r="136" spans="1:11" x14ac:dyDescent="0.3">
      <c r="A136" s="1" t="s">
        <v>9</v>
      </c>
      <c r="B136">
        <v>47</v>
      </c>
      <c r="C136" t="str" cm="1">
        <f t="array" ref="C136">_xlfn.IFS(
    Dataset[[#This Row],[Age]]&lt;=10, "0-10",
    AND(Dataset[[#This Row],[Age]]&gt;10, Dataset[[#This Row],[Age]]&lt;=18), "11-18",
    AND(Dataset[[#This Row],[Age]]&gt;18, Dataset[[#This Row],[Age]]&lt;=30), "19-30",
    AND(Dataset[[#This Row],[Age]]&gt;30, Dataset[[#This Row],[Age]]&lt;=60), "31-60",
    Dataset[[#This Row],[Age]]&gt;60, "above 60"
)</f>
        <v>31-60</v>
      </c>
      <c r="D136">
        <v>1</v>
      </c>
      <c r="E136">
        <v>1</v>
      </c>
      <c r="F136">
        <v>1</v>
      </c>
      <c r="G13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36" s="1" t="s">
        <v>29</v>
      </c>
      <c r="I136" s="1" t="s">
        <v>11</v>
      </c>
      <c r="J136" s="1" t="s">
        <v>17</v>
      </c>
      <c r="K136">
        <v>1</v>
      </c>
    </row>
    <row r="137" spans="1:11" x14ac:dyDescent="0.3">
      <c r="A137" s="1" t="s">
        <v>9</v>
      </c>
      <c r="B137">
        <v>19</v>
      </c>
      <c r="C137" t="str" cm="1">
        <f t="array" ref="C137">_xlfn.IFS(
    Dataset[[#This Row],[Age]]&lt;=10, "0-10",
    AND(Dataset[[#This Row],[Age]]&gt;10, Dataset[[#This Row],[Age]]&lt;=18), "11-18",
    AND(Dataset[[#This Row],[Age]]&gt;18, Dataset[[#This Row],[Age]]&lt;=30), "19-30",
    AND(Dataset[[#This Row],[Age]]&gt;30, Dataset[[#This Row],[Age]]&lt;=60), "31-60",
    Dataset[[#This Row],[Age]]&gt;60, "above 60"
)</f>
        <v>19-30</v>
      </c>
      <c r="D137">
        <v>1</v>
      </c>
      <c r="E137">
        <v>1</v>
      </c>
      <c r="F137">
        <v>0</v>
      </c>
      <c r="G13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37" s="1" t="s">
        <v>16</v>
      </c>
      <c r="I137" s="1" t="s">
        <v>15</v>
      </c>
      <c r="J137" s="1" t="s">
        <v>12</v>
      </c>
      <c r="K137">
        <v>1</v>
      </c>
    </row>
    <row r="138" spans="1:11" x14ac:dyDescent="0.3">
      <c r="A138" s="1" t="s">
        <v>13</v>
      </c>
      <c r="B138">
        <v>55</v>
      </c>
      <c r="C138" t="str" cm="1">
        <f t="array" ref="C138">_xlfn.IFS(
    Dataset[[#This Row],[Age]]&lt;=10, "0-10",
    AND(Dataset[[#This Row],[Age]]&gt;10, Dataset[[#This Row],[Age]]&lt;=18), "11-18",
    AND(Dataset[[#This Row],[Age]]&gt;18, Dataset[[#This Row],[Age]]&lt;=30), "19-30",
    AND(Dataset[[#This Row],[Age]]&gt;30, Dataset[[#This Row],[Age]]&lt;=60), "31-60",
    Dataset[[#This Row],[Age]]&gt;60, "above 60"
)</f>
        <v>31-60</v>
      </c>
      <c r="D138">
        <v>1</v>
      </c>
      <c r="E138">
        <v>1</v>
      </c>
      <c r="F138">
        <v>0</v>
      </c>
      <c r="G13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38" s="1" t="s">
        <v>32</v>
      </c>
      <c r="I138" s="1" t="s">
        <v>11</v>
      </c>
      <c r="J138" s="1" t="s">
        <v>22</v>
      </c>
      <c r="K138">
        <v>1</v>
      </c>
    </row>
    <row r="139" spans="1:11" x14ac:dyDescent="0.3">
      <c r="A139" s="1" t="s">
        <v>9</v>
      </c>
      <c r="B139">
        <v>49</v>
      </c>
      <c r="C139" t="str" cm="1">
        <f t="array" ref="C139">_xlfn.IFS(
    Dataset[[#This Row],[Age]]&lt;=10, "0-10",
    AND(Dataset[[#This Row],[Age]]&gt;10, Dataset[[#This Row],[Age]]&lt;=18), "11-18",
    AND(Dataset[[#This Row],[Age]]&gt;18, Dataset[[#This Row],[Age]]&lt;=30), "19-30",
    AND(Dataset[[#This Row],[Age]]&gt;30, Dataset[[#This Row],[Age]]&lt;=60), "31-60",
    Dataset[[#This Row],[Age]]&gt;60, "above 60"
)</f>
        <v>31-60</v>
      </c>
      <c r="D139">
        <v>1</v>
      </c>
      <c r="E139">
        <v>1</v>
      </c>
      <c r="F139">
        <v>0</v>
      </c>
      <c r="G13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39" s="1" t="s">
        <v>16</v>
      </c>
      <c r="I139" s="1" t="s">
        <v>15</v>
      </c>
      <c r="J139" s="1" t="s">
        <v>12</v>
      </c>
      <c r="K139">
        <v>1</v>
      </c>
    </row>
    <row r="140" spans="1:11" x14ac:dyDescent="0.3">
      <c r="A140" s="1" t="s">
        <v>13</v>
      </c>
      <c r="B140">
        <v>32</v>
      </c>
      <c r="C140" t="str" cm="1">
        <f t="array" ref="C140">_xlfn.IFS(
    Dataset[[#This Row],[Age]]&lt;=10, "0-10",
    AND(Dataset[[#This Row],[Age]]&gt;10, Dataset[[#This Row],[Age]]&lt;=18), "11-18",
    AND(Dataset[[#This Row],[Age]]&gt;18, Dataset[[#This Row],[Age]]&lt;=30), "19-30",
    AND(Dataset[[#This Row],[Age]]&gt;30, Dataset[[#This Row],[Age]]&lt;=60), "31-60",
    Dataset[[#This Row],[Age]]&gt;60, "above 60"
)</f>
        <v>31-60</v>
      </c>
      <c r="D140">
        <v>0</v>
      </c>
      <c r="E140">
        <v>1</v>
      </c>
      <c r="F140">
        <v>0</v>
      </c>
      <c r="G14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Low Risk</v>
      </c>
      <c r="H140" s="1" t="s">
        <v>51</v>
      </c>
      <c r="I140" s="1" t="s">
        <v>11</v>
      </c>
      <c r="J140" s="1" t="s">
        <v>22</v>
      </c>
      <c r="K140">
        <v>1</v>
      </c>
    </row>
    <row r="141" spans="1:11" x14ac:dyDescent="0.3">
      <c r="A141" s="1" t="s">
        <v>9</v>
      </c>
      <c r="B141">
        <v>8</v>
      </c>
      <c r="C141" t="str" cm="1">
        <f t="array" ref="C141">_xlfn.IFS(
    Dataset[[#This Row],[Age]]&lt;=10, "0-10",
    AND(Dataset[[#This Row],[Age]]&gt;10, Dataset[[#This Row],[Age]]&lt;=18), "11-18",
    AND(Dataset[[#This Row],[Age]]&gt;18, Dataset[[#This Row],[Age]]&lt;=30), "19-30",
    AND(Dataset[[#This Row],[Age]]&gt;30, Dataset[[#This Row],[Age]]&lt;=60), "31-60",
    Dataset[[#This Row],[Age]]&gt;60, "above 60"
)</f>
        <v>0-10</v>
      </c>
      <c r="D141">
        <v>1</v>
      </c>
      <c r="E141">
        <v>1</v>
      </c>
      <c r="F141">
        <v>0</v>
      </c>
      <c r="G14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41" s="1" t="s">
        <v>42</v>
      </c>
      <c r="I141" s="1" t="s">
        <v>15</v>
      </c>
      <c r="J141" s="1" t="s">
        <v>22</v>
      </c>
      <c r="K141">
        <v>1</v>
      </c>
    </row>
    <row r="142" spans="1:11" x14ac:dyDescent="0.3">
      <c r="A142" s="1" t="s">
        <v>9</v>
      </c>
      <c r="B142">
        <v>14</v>
      </c>
      <c r="C142" t="str" cm="1">
        <f t="array" ref="C142">_xlfn.IFS(
    Dataset[[#This Row],[Age]]&lt;=10, "0-10",
    AND(Dataset[[#This Row],[Age]]&gt;10, Dataset[[#This Row],[Age]]&lt;=18), "11-18",
    AND(Dataset[[#This Row],[Age]]&gt;18, Dataset[[#This Row],[Age]]&lt;=30), "19-30",
    AND(Dataset[[#This Row],[Age]]&gt;30, Dataset[[#This Row],[Age]]&lt;=60), "31-60",
    Dataset[[#This Row],[Age]]&gt;60, "above 60"
)</f>
        <v>11-18</v>
      </c>
      <c r="D142">
        <v>0</v>
      </c>
      <c r="E142">
        <v>0</v>
      </c>
      <c r="F142">
        <v>0</v>
      </c>
      <c r="G14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42" s="1" t="s">
        <v>45</v>
      </c>
      <c r="I142" s="1" t="s">
        <v>11</v>
      </c>
      <c r="J142" s="1" t="s">
        <v>22</v>
      </c>
      <c r="K142">
        <v>0</v>
      </c>
    </row>
    <row r="143" spans="1:11" x14ac:dyDescent="0.3">
      <c r="A143" s="1" t="s">
        <v>13</v>
      </c>
      <c r="B143">
        <v>28</v>
      </c>
      <c r="C143" t="str" cm="1">
        <f t="array" ref="C143">_xlfn.IFS(
    Dataset[[#This Row],[Age]]&lt;=10, "0-10",
    AND(Dataset[[#This Row],[Age]]&gt;10, Dataset[[#This Row],[Age]]&lt;=18), "11-18",
    AND(Dataset[[#This Row],[Age]]&gt;18, Dataset[[#This Row],[Age]]&lt;=30), "19-30",
    AND(Dataset[[#This Row],[Age]]&gt;30, Dataset[[#This Row],[Age]]&lt;=60), "31-60",
    Dataset[[#This Row],[Age]]&gt;60, "above 60"
)</f>
        <v>19-30</v>
      </c>
      <c r="D143">
        <v>0</v>
      </c>
      <c r="E143">
        <v>0</v>
      </c>
      <c r="F143">
        <v>1</v>
      </c>
      <c r="G14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43" s="1" t="s">
        <v>44</v>
      </c>
      <c r="I143" s="1" t="s">
        <v>15</v>
      </c>
      <c r="J143" s="1" t="s">
        <v>17</v>
      </c>
      <c r="K143">
        <v>0</v>
      </c>
    </row>
    <row r="144" spans="1:11" x14ac:dyDescent="0.3">
      <c r="A144" s="1" t="s">
        <v>9</v>
      </c>
      <c r="B144">
        <v>11</v>
      </c>
      <c r="C144" t="str" cm="1">
        <f t="array" ref="C144">_xlfn.IFS(
    Dataset[[#This Row],[Age]]&lt;=10, "0-10",
    AND(Dataset[[#This Row],[Age]]&gt;10, Dataset[[#This Row],[Age]]&lt;=18), "11-18",
    AND(Dataset[[#This Row],[Age]]&gt;18, Dataset[[#This Row],[Age]]&lt;=30), "19-30",
    AND(Dataset[[#This Row],[Age]]&gt;30, Dataset[[#This Row],[Age]]&lt;=60), "31-60",
    Dataset[[#This Row],[Age]]&gt;60, "above 60"
)</f>
        <v>11-18</v>
      </c>
      <c r="D144">
        <v>1</v>
      </c>
      <c r="E144">
        <v>1</v>
      </c>
      <c r="F144">
        <v>1</v>
      </c>
      <c r="G14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44" s="1" t="s">
        <v>36</v>
      </c>
      <c r="I144" s="1" t="s">
        <v>11</v>
      </c>
      <c r="J144" s="1" t="s">
        <v>17</v>
      </c>
      <c r="K144">
        <v>1</v>
      </c>
    </row>
    <row r="145" spans="1:11" x14ac:dyDescent="0.3">
      <c r="A145" s="1" t="s">
        <v>13</v>
      </c>
      <c r="B145">
        <v>29</v>
      </c>
      <c r="C145" t="str" cm="1">
        <f t="array" ref="C145">_xlfn.IFS(
    Dataset[[#This Row],[Age]]&lt;=10, "0-10",
    AND(Dataset[[#This Row],[Age]]&gt;10, Dataset[[#This Row],[Age]]&lt;=18), "11-18",
    AND(Dataset[[#This Row],[Age]]&gt;18, Dataset[[#This Row],[Age]]&lt;=30), "19-30",
    AND(Dataset[[#This Row],[Age]]&gt;30, Dataset[[#This Row],[Age]]&lt;=60), "31-60",
    Dataset[[#This Row],[Age]]&gt;60, "above 60"
)</f>
        <v>19-30</v>
      </c>
      <c r="D145">
        <v>0</v>
      </c>
      <c r="E145">
        <v>0</v>
      </c>
      <c r="F145">
        <v>0</v>
      </c>
      <c r="G14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45" s="1" t="s">
        <v>51</v>
      </c>
      <c r="I145" s="1" t="s">
        <v>15</v>
      </c>
      <c r="J145" s="1" t="s">
        <v>12</v>
      </c>
      <c r="K145">
        <v>0</v>
      </c>
    </row>
    <row r="146" spans="1:11" x14ac:dyDescent="0.3">
      <c r="A146" s="1" t="s">
        <v>9</v>
      </c>
      <c r="B146">
        <v>62</v>
      </c>
      <c r="C146" t="str" cm="1">
        <f t="array" ref="C146">_xlfn.IFS(
    Dataset[[#This Row],[Age]]&lt;=10, "0-10",
    AND(Dataset[[#This Row],[Age]]&gt;10, Dataset[[#This Row],[Age]]&lt;=18), "11-18",
    AND(Dataset[[#This Row],[Age]]&gt;18, Dataset[[#This Row],[Age]]&lt;=30), "19-30",
    AND(Dataset[[#This Row],[Age]]&gt;30, Dataset[[#This Row],[Age]]&lt;=60), "31-60",
    Dataset[[#This Row],[Age]]&gt;60, "above 60"
)</f>
        <v>above 60</v>
      </c>
      <c r="D146">
        <v>0</v>
      </c>
      <c r="E146">
        <v>0</v>
      </c>
      <c r="F146">
        <v>1</v>
      </c>
      <c r="G14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46" s="1" t="s">
        <v>27</v>
      </c>
      <c r="I146" s="1" t="s">
        <v>11</v>
      </c>
      <c r="J146" s="1" t="s">
        <v>17</v>
      </c>
      <c r="K146">
        <v>0</v>
      </c>
    </row>
    <row r="147" spans="1:11" x14ac:dyDescent="0.3">
      <c r="A147" s="1" t="s">
        <v>9</v>
      </c>
      <c r="B147">
        <v>65</v>
      </c>
      <c r="C147" t="str" cm="1">
        <f t="array" ref="C147">_xlfn.IFS(
    Dataset[[#This Row],[Age]]&lt;=10, "0-10",
    AND(Dataset[[#This Row],[Age]]&gt;10, Dataset[[#This Row],[Age]]&lt;=18), "11-18",
    AND(Dataset[[#This Row],[Age]]&gt;18, Dataset[[#This Row],[Age]]&lt;=30), "19-30",
    AND(Dataset[[#This Row],[Age]]&gt;30, Dataset[[#This Row],[Age]]&lt;=60), "31-60",
    Dataset[[#This Row],[Age]]&gt;60, "above 60"
)</f>
        <v>above 60</v>
      </c>
      <c r="D147">
        <v>1</v>
      </c>
      <c r="E147">
        <v>1</v>
      </c>
      <c r="F147">
        <v>1</v>
      </c>
      <c r="G14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47" s="1" t="s">
        <v>16</v>
      </c>
      <c r="I147" s="1" t="s">
        <v>15</v>
      </c>
      <c r="J147" s="1" t="s">
        <v>17</v>
      </c>
      <c r="K147">
        <v>1</v>
      </c>
    </row>
    <row r="148" spans="1:11" x14ac:dyDescent="0.3">
      <c r="A148" s="1" t="s">
        <v>9</v>
      </c>
      <c r="B148">
        <v>43</v>
      </c>
      <c r="C148" t="str" cm="1">
        <f t="array" ref="C148">_xlfn.IFS(
    Dataset[[#This Row],[Age]]&lt;=10, "0-10",
    AND(Dataset[[#This Row],[Age]]&gt;10, Dataset[[#This Row],[Age]]&lt;=18), "11-18",
    AND(Dataset[[#This Row],[Age]]&gt;18, Dataset[[#This Row],[Age]]&lt;=30), "19-30",
    AND(Dataset[[#This Row],[Age]]&gt;30, Dataset[[#This Row],[Age]]&lt;=60), "31-60",
    Dataset[[#This Row],[Age]]&gt;60, "above 60"
)</f>
        <v>31-60</v>
      </c>
      <c r="D148">
        <v>1</v>
      </c>
      <c r="E148">
        <v>1</v>
      </c>
      <c r="F148">
        <v>1</v>
      </c>
      <c r="G14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48" s="1" t="s">
        <v>35</v>
      </c>
      <c r="I148" s="1" t="s">
        <v>11</v>
      </c>
      <c r="J148" s="1" t="s">
        <v>17</v>
      </c>
      <c r="K148">
        <v>1</v>
      </c>
    </row>
    <row r="149" spans="1:11" x14ac:dyDescent="0.3">
      <c r="A149" s="1" t="s">
        <v>9</v>
      </c>
      <c r="B149">
        <v>59</v>
      </c>
      <c r="C149" t="str" cm="1">
        <f t="array" ref="C149">_xlfn.IFS(
    Dataset[[#This Row],[Age]]&lt;=10, "0-10",
    AND(Dataset[[#This Row],[Age]]&gt;10, Dataset[[#This Row],[Age]]&lt;=18), "11-18",
    AND(Dataset[[#This Row],[Age]]&gt;18, Dataset[[#This Row],[Age]]&lt;=30), "19-30",
    AND(Dataset[[#This Row],[Age]]&gt;30, Dataset[[#This Row],[Age]]&lt;=60), "31-60",
    Dataset[[#This Row],[Age]]&gt;60, "above 60"
)</f>
        <v>31-60</v>
      </c>
      <c r="D149">
        <v>1</v>
      </c>
      <c r="E149">
        <v>1</v>
      </c>
      <c r="F149">
        <v>0</v>
      </c>
      <c r="G14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49" s="1" t="s">
        <v>41</v>
      </c>
      <c r="I149" s="1" t="s">
        <v>15</v>
      </c>
      <c r="J149" s="1" t="s">
        <v>22</v>
      </c>
      <c r="K149">
        <v>1</v>
      </c>
    </row>
    <row r="150" spans="1:11" x14ac:dyDescent="0.3">
      <c r="A150" s="1" t="s">
        <v>9</v>
      </c>
      <c r="B150">
        <v>29</v>
      </c>
      <c r="C150" t="str" cm="1">
        <f t="array" ref="C150">_xlfn.IFS(
    Dataset[[#This Row],[Age]]&lt;=10, "0-10",
    AND(Dataset[[#This Row],[Age]]&gt;10, Dataset[[#This Row],[Age]]&lt;=18), "11-18",
    AND(Dataset[[#This Row],[Age]]&gt;18, Dataset[[#This Row],[Age]]&lt;=30), "19-30",
    AND(Dataset[[#This Row],[Age]]&gt;30, Dataset[[#This Row],[Age]]&lt;=60), "31-60",
    Dataset[[#This Row],[Age]]&gt;60, "above 60"
)</f>
        <v>19-30</v>
      </c>
      <c r="D150">
        <v>1</v>
      </c>
      <c r="E150">
        <v>1</v>
      </c>
      <c r="F150">
        <v>1</v>
      </c>
      <c r="G15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50" s="1" t="s">
        <v>14</v>
      </c>
      <c r="I150" s="1" t="s">
        <v>11</v>
      </c>
      <c r="J150" s="1" t="s">
        <v>22</v>
      </c>
      <c r="K150">
        <v>1</v>
      </c>
    </row>
    <row r="151" spans="1:11" x14ac:dyDescent="0.3">
      <c r="A151" s="1" t="s">
        <v>13</v>
      </c>
      <c r="B151">
        <v>17</v>
      </c>
      <c r="C151" t="str" cm="1">
        <f t="array" ref="C151">_xlfn.IFS(
    Dataset[[#This Row],[Age]]&lt;=10, "0-10",
    AND(Dataset[[#This Row],[Age]]&gt;10, Dataset[[#This Row],[Age]]&lt;=18), "11-18",
    AND(Dataset[[#This Row],[Age]]&gt;18, Dataset[[#This Row],[Age]]&lt;=30), "19-30",
    AND(Dataset[[#This Row],[Age]]&gt;30, Dataset[[#This Row],[Age]]&lt;=60), "31-60",
    Dataset[[#This Row],[Age]]&gt;60, "above 60"
)</f>
        <v>11-18</v>
      </c>
      <c r="D151">
        <v>0</v>
      </c>
      <c r="E151">
        <v>0</v>
      </c>
      <c r="F151">
        <v>0</v>
      </c>
      <c r="G15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51" s="1" t="s">
        <v>47</v>
      </c>
      <c r="I151" s="1" t="s">
        <v>15</v>
      </c>
      <c r="J151" s="1" t="s">
        <v>12</v>
      </c>
      <c r="K151">
        <v>0</v>
      </c>
    </row>
    <row r="152" spans="1:11" x14ac:dyDescent="0.3">
      <c r="A152" s="1" t="s">
        <v>9</v>
      </c>
      <c r="B152">
        <v>41</v>
      </c>
      <c r="C152" t="str" cm="1">
        <f t="array" ref="C152">_xlfn.IFS(
    Dataset[[#This Row],[Age]]&lt;=10, "0-10",
    AND(Dataset[[#This Row],[Age]]&gt;10, Dataset[[#This Row],[Age]]&lt;=18), "11-18",
    AND(Dataset[[#This Row],[Age]]&gt;18, Dataset[[#This Row],[Age]]&lt;=30), "19-30",
    AND(Dataset[[#This Row],[Age]]&gt;30, Dataset[[#This Row],[Age]]&lt;=60), "31-60",
    Dataset[[#This Row],[Age]]&gt;60, "above 60"
)</f>
        <v>31-60</v>
      </c>
      <c r="D152">
        <v>1</v>
      </c>
      <c r="E152">
        <v>1</v>
      </c>
      <c r="F152">
        <v>1</v>
      </c>
      <c r="G15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52" s="1" t="s">
        <v>27</v>
      </c>
      <c r="I152" s="1" t="s">
        <v>11</v>
      </c>
      <c r="J152" s="1" t="s">
        <v>17</v>
      </c>
      <c r="K152">
        <v>1</v>
      </c>
    </row>
    <row r="153" spans="1:11" x14ac:dyDescent="0.3">
      <c r="A153" s="1" t="s">
        <v>9</v>
      </c>
      <c r="B153">
        <v>8</v>
      </c>
      <c r="C153" t="str" cm="1">
        <f t="array" ref="C153">_xlfn.IFS(
    Dataset[[#This Row],[Age]]&lt;=10, "0-10",
    AND(Dataset[[#This Row],[Age]]&gt;10, Dataset[[#This Row],[Age]]&lt;=18), "11-18",
    AND(Dataset[[#This Row],[Age]]&gt;18, Dataset[[#This Row],[Age]]&lt;=30), "19-30",
    AND(Dataset[[#This Row],[Age]]&gt;30, Dataset[[#This Row],[Age]]&lt;=60), "31-60",
    Dataset[[#This Row],[Age]]&gt;60, "above 60"
)</f>
        <v>0-10</v>
      </c>
      <c r="D153">
        <v>1</v>
      </c>
      <c r="E153">
        <v>1</v>
      </c>
      <c r="F153">
        <v>1</v>
      </c>
      <c r="G15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53" s="1" t="s">
        <v>45</v>
      </c>
      <c r="I153" s="1" t="s">
        <v>15</v>
      </c>
      <c r="J153" s="1" t="s">
        <v>12</v>
      </c>
      <c r="K153">
        <v>1</v>
      </c>
    </row>
    <row r="154" spans="1:11" x14ac:dyDescent="0.3">
      <c r="A154" s="1" t="s">
        <v>9</v>
      </c>
      <c r="B154">
        <v>29</v>
      </c>
      <c r="C154" t="str" cm="1">
        <f t="array" ref="C154">_xlfn.IFS(
    Dataset[[#This Row],[Age]]&lt;=10, "0-10",
    AND(Dataset[[#This Row],[Age]]&gt;10, Dataset[[#This Row],[Age]]&lt;=18), "11-18",
    AND(Dataset[[#This Row],[Age]]&gt;18, Dataset[[#This Row],[Age]]&lt;=30), "19-30",
    AND(Dataset[[#This Row],[Age]]&gt;30, Dataset[[#This Row],[Age]]&lt;=60), "31-60",
    Dataset[[#This Row],[Age]]&gt;60, "above 60"
)</f>
        <v>19-30</v>
      </c>
      <c r="D154">
        <v>1</v>
      </c>
      <c r="E154">
        <v>1</v>
      </c>
      <c r="F154">
        <v>0</v>
      </c>
      <c r="G15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54" s="1" t="s">
        <v>29</v>
      </c>
      <c r="I154" s="1" t="s">
        <v>11</v>
      </c>
      <c r="J154" s="1" t="s">
        <v>22</v>
      </c>
      <c r="K154">
        <v>1</v>
      </c>
    </row>
    <row r="155" spans="1:11" x14ac:dyDescent="0.3">
      <c r="A155" s="1" t="s">
        <v>9</v>
      </c>
      <c r="B155">
        <v>54</v>
      </c>
      <c r="C155" t="str" cm="1">
        <f t="array" ref="C155">_xlfn.IFS(
    Dataset[[#This Row],[Age]]&lt;=10, "0-10",
    AND(Dataset[[#This Row],[Age]]&gt;10, Dataset[[#This Row],[Age]]&lt;=18), "11-18",
    AND(Dataset[[#This Row],[Age]]&gt;18, Dataset[[#This Row],[Age]]&lt;=30), "19-30",
    AND(Dataset[[#This Row],[Age]]&gt;30, Dataset[[#This Row],[Age]]&lt;=60), "31-60",
    Dataset[[#This Row],[Age]]&gt;60, "above 60"
)</f>
        <v>31-60</v>
      </c>
      <c r="D155">
        <v>1</v>
      </c>
      <c r="E155">
        <v>1</v>
      </c>
      <c r="F155">
        <v>0</v>
      </c>
      <c r="G15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55" s="1" t="s">
        <v>48</v>
      </c>
      <c r="I155" s="1" t="s">
        <v>15</v>
      </c>
      <c r="J155" s="1" t="s">
        <v>22</v>
      </c>
      <c r="K155">
        <v>1</v>
      </c>
    </row>
    <row r="156" spans="1:11" x14ac:dyDescent="0.3">
      <c r="A156" s="1" t="s">
        <v>9</v>
      </c>
      <c r="B156">
        <v>53</v>
      </c>
      <c r="C156" t="str" cm="1">
        <f t="array" ref="C156">_xlfn.IFS(
    Dataset[[#This Row],[Age]]&lt;=10, "0-10",
    AND(Dataset[[#This Row],[Age]]&gt;10, Dataset[[#This Row],[Age]]&lt;=18), "11-18",
    AND(Dataset[[#This Row],[Age]]&gt;18, Dataset[[#This Row],[Age]]&lt;=30), "19-30",
    AND(Dataset[[#This Row],[Age]]&gt;30, Dataset[[#This Row],[Age]]&lt;=60), "31-60",
    Dataset[[#This Row],[Age]]&gt;60, "above 60"
)</f>
        <v>31-60</v>
      </c>
      <c r="D156">
        <v>0</v>
      </c>
      <c r="E156">
        <v>0</v>
      </c>
      <c r="F156">
        <v>1</v>
      </c>
      <c r="G15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56" s="1" t="s">
        <v>14</v>
      </c>
      <c r="I156" s="1" t="s">
        <v>11</v>
      </c>
      <c r="J156" s="1" t="s">
        <v>12</v>
      </c>
      <c r="K156">
        <v>0</v>
      </c>
    </row>
    <row r="157" spans="1:11" x14ac:dyDescent="0.3">
      <c r="A157" s="1" t="s">
        <v>13</v>
      </c>
      <c r="B157">
        <v>16</v>
      </c>
      <c r="C157" t="str" cm="1">
        <f t="array" ref="C157">_xlfn.IFS(
    Dataset[[#This Row],[Age]]&lt;=10, "0-10",
    AND(Dataset[[#This Row],[Age]]&gt;10, Dataset[[#This Row],[Age]]&lt;=18), "11-18",
    AND(Dataset[[#This Row],[Age]]&gt;18, Dataset[[#This Row],[Age]]&lt;=30), "19-30",
    AND(Dataset[[#This Row],[Age]]&gt;30, Dataset[[#This Row],[Age]]&lt;=60), "31-60",
    Dataset[[#This Row],[Age]]&gt;60, "above 60"
)</f>
        <v>11-18</v>
      </c>
      <c r="D157">
        <v>1</v>
      </c>
      <c r="E157">
        <v>1</v>
      </c>
      <c r="F157">
        <v>1</v>
      </c>
      <c r="G15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57" s="1" t="s">
        <v>43</v>
      </c>
      <c r="I157" s="1" t="s">
        <v>15</v>
      </c>
      <c r="J157" s="1" t="s">
        <v>12</v>
      </c>
      <c r="K157">
        <v>1</v>
      </c>
    </row>
    <row r="158" spans="1:11" x14ac:dyDescent="0.3">
      <c r="A158" s="1" t="s">
        <v>13</v>
      </c>
      <c r="B158">
        <v>43</v>
      </c>
      <c r="C158" t="str" cm="1">
        <f t="array" ref="C158">_xlfn.IFS(
    Dataset[[#This Row],[Age]]&lt;=10, "0-10",
    AND(Dataset[[#This Row],[Age]]&gt;10, Dataset[[#This Row],[Age]]&lt;=18), "11-18",
    AND(Dataset[[#This Row],[Age]]&gt;18, Dataset[[#This Row],[Age]]&lt;=30), "19-30",
    AND(Dataset[[#This Row],[Age]]&gt;30, Dataset[[#This Row],[Age]]&lt;=60), "31-60",
    Dataset[[#This Row],[Age]]&gt;60, "above 60"
)</f>
        <v>31-60</v>
      </c>
      <c r="D158">
        <v>0</v>
      </c>
      <c r="E158">
        <v>0</v>
      </c>
      <c r="F158">
        <v>1</v>
      </c>
      <c r="G15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58" s="1" t="s">
        <v>29</v>
      </c>
      <c r="I158" s="1" t="s">
        <v>11</v>
      </c>
      <c r="J158" s="1" t="s">
        <v>12</v>
      </c>
      <c r="K158">
        <v>0</v>
      </c>
    </row>
    <row r="159" spans="1:11" x14ac:dyDescent="0.3">
      <c r="A159" s="1" t="s">
        <v>13</v>
      </c>
      <c r="B159">
        <v>54</v>
      </c>
      <c r="C159" t="str" cm="1">
        <f t="array" ref="C159">_xlfn.IFS(
    Dataset[[#This Row],[Age]]&lt;=10, "0-10",
    AND(Dataset[[#This Row],[Age]]&gt;10, Dataset[[#This Row],[Age]]&lt;=18), "11-18",
    AND(Dataset[[#This Row],[Age]]&gt;18, Dataset[[#This Row],[Age]]&lt;=30), "19-30",
    AND(Dataset[[#This Row],[Age]]&gt;30, Dataset[[#This Row],[Age]]&lt;=60), "31-60",
    Dataset[[#This Row],[Age]]&gt;60, "above 60"
)</f>
        <v>31-60</v>
      </c>
      <c r="D159">
        <v>0</v>
      </c>
      <c r="E159">
        <v>0</v>
      </c>
      <c r="F159">
        <v>0</v>
      </c>
      <c r="G15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59" s="1" t="s">
        <v>34</v>
      </c>
      <c r="I159" s="1" t="s">
        <v>15</v>
      </c>
      <c r="J159" s="1" t="s">
        <v>17</v>
      </c>
      <c r="K159">
        <v>0</v>
      </c>
    </row>
    <row r="160" spans="1:11" x14ac:dyDescent="0.3">
      <c r="A160" s="1" t="s">
        <v>13</v>
      </c>
      <c r="B160">
        <v>41</v>
      </c>
      <c r="C160" t="str" cm="1">
        <f t="array" ref="C160">_xlfn.IFS(
    Dataset[[#This Row],[Age]]&lt;=10, "0-10",
    AND(Dataset[[#This Row],[Age]]&gt;10, Dataset[[#This Row],[Age]]&lt;=18), "11-18",
    AND(Dataset[[#This Row],[Age]]&gt;18, Dataset[[#This Row],[Age]]&lt;=30), "19-30",
    AND(Dataset[[#This Row],[Age]]&gt;30, Dataset[[#This Row],[Age]]&lt;=60), "31-60",
    Dataset[[#This Row],[Age]]&gt;60, "above 60"
)</f>
        <v>31-60</v>
      </c>
      <c r="D160">
        <v>0</v>
      </c>
      <c r="E160">
        <v>0</v>
      </c>
      <c r="F160">
        <v>0</v>
      </c>
      <c r="G16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60" s="1" t="s">
        <v>37</v>
      </c>
      <c r="I160" s="1" t="s">
        <v>11</v>
      </c>
      <c r="J160" s="1" t="s">
        <v>22</v>
      </c>
      <c r="K160">
        <v>0</v>
      </c>
    </row>
    <row r="161" spans="1:11" x14ac:dyDescent="0.3">
      <c r="A161" s="1" t="s">
        <v>13</v>
      </c>
      <c r="B161">
        <v>42</v>
      </c>
      <c r="C161" t="str" cm="1">
        <f t="array" ref="C161">_xlfn.IFS(
    Dataset[[#This Row],[Age]]&lt;=10, "0-10",
    AND(Dataset[[#This Row],[Age]]&gt;10, Dataset[[#This Row],[Age]]&lt;=18), "11-18",
    AND(Dataset[[#This Row],[Age]]&gt;18, Dataset[[#This Row],[Age]]&lt;=30), "19-30",
    AND(Dataset[[#This Row],[Age]]&gt;30, Dataset[[#This Row],[Age]]&lt;=60), "31-60",
    Dataset[[#This Row],[Age]]&gt;60, "above 60"
)</f>
        <v>31-60</v>
      </c>
      <c r="D161">
        <v>0</v>
      </c>
      <c r="E161">
        <v>0</v>
      </c>
      <c r="F161">
        <v>0</v>
      </c>
      <c r="G16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61" s="1" t="s">
        <v>49</v>
      </c>
      <c r="I161" s="1" t="s">
        <v>15</v>
      </c>
      <c r="J161" s="1" t="s">
        <v>17</v>
      </c>
      <c r="K161">
        <v>0</v>
      </c>
    </row>
    <row r="162" spans="1:11" x14ac:dyDescent="0.3">
      <c r="A162" s="1" t="s">
        <v>9</v>
      </c>
      <c r="B162">
        <v>45</v>
      </c>
      <c r="C162" t="str" cm="1">
        <f t="array" ref="C162">_xlfn.IFS(
    Dataset[[#This Row],[Age]]&lt;=10, "0-10",
    AND(Dataset[[#This Row],[Age]]&gt;10, Dataset[[#This Row],[Age]]&lt;=18), "11-18",
    AND(Dataset[[#This Row],[Age]]&gt;18, Dataset[[#This Row],[Age]]&lt;=30), "19-30",
    AND(Dataset[[#This Row],[Age]]&gt;30, Dataset[[#This Row],[Age]]&lt;=60), "31-60",
    Dataset[[#This Row],[Age]]&gt;60, "above 60"
)</f>
        <v>31-60</v>
      </c>
      <c r="D162">
        <v>1</v>
      </c>
      <c r="E162">
        <v>1</v>
      </c>
      <c r="F162">
        <v>1</v>
      </c>
      <c r="G16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62" s="1" t="s">
        <v>23</v>
      </c>
      <c r="I162" s="1" t="s">
        <v>11</v>
      </c>
      <c r="J162" s="1" t="s">
        <v>17</v>
      </c>
      <c r="K162">
        <v>1</v>
      </c>
    </row>
    <row r="163" spans="1:11" x14ac:dyDescent="0.3">
      <c r="A163" s="1" t="s">
        <v>13</v>
      </c>
      <c r="B163">
        <v>13</v>
      </c>
      <c r="C163" t="str" cm="1">
        <f t="array" ref="C163">_xlfn.IFS(
    Dataset[[#This Row],[Age]]&lt;=10, "0-10",
    AND(Dataset[[#This Row],[Age]]&gt;10, Dataset[[#This Row],[Age]]&lt;=18), "11-18",
    AND(Dataset[[#This Row],[Age]]&gt;18, Dataset[[#This Row],[Age]]&lt;=30), "19-30",
    AND(Dataset[[#This Row],[Age]]&gt;30, Dataset[[#This Row],[Age]]&lt;=60), "31-60",
    Dataset[[#This Row],[Age]]&gt;60, "above 60"
)</f>
        <v>11-18</v>
      </c>
      <c r="D163">
        <v>1</v>
      </c>
      <c r="E163">
        <v>1</v>
      </c>
      <c r="F163">
        <v>1</v>
      </c>
      <c r="G16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63" s="1" t="s">
        <v>48</v>
      </c>
      <c r="I163" s="1" t="s">
        <v>15</v>
      </c>
      <c r="J163" s="1" t="s">
        <v>17</v>
      </c>
      <c r="K163">
        <v>1</v>
      </c>
    </row>
    <row r="164" spans="1:11" x14ac:dyDescent="0.3">
      <c r="A164" s="1" t="s">
        <v>9</v>
      </c>
      <c r="B164">
        <v>10</v>
      </c>
      <c r="C164" t="str" cm="1">
        <f t="array" ref="C164">_xlfn.IFS(
    Dataset[[#This Row],[Age]]&lt;=10, "0-10",
    AND(Dataset[[#This Row],[Age]]&gt;10, Dataset[[#This Row],[Age]]&lt;=18), "11-18",
    AND(Dataset[[#This Row],[Age]]&gt;18, Dataset[[#This Row],[Age]]&lt;=30), "19-30",
    AND(Dataset[[#This Row],[Age]]&gt;30, Dataset[[#This Row],[Age]]&lt;=60), "31-60",
    Dataset[[#This Row],[Age]]&gt;60, "above 60"
)</f>
        <v>0-10</v>
      </c>
      <c r="D164">
        <v>1</v>
      </c>
      <c r="E164">
        <v>1</v>
      </c>
      <c r="F164">
        <v>0</v>
      </c>
      <c r="G16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64" s="1" t="s">
        <v>43</v>
      </c>
      <c r="I164" s="1" t="s">
        <v>11</v>
      </c>
      <c r="J164" s="1" t="s">
        <v>12</v>
      </c>
      <c r="K164">
        <v>1</v>
      </c>
    </row>
    <row r="165" spans="1:11" x14ac:dyDescent="0.3">
      <c r="A165" s="1" t="s">
        <v>13</v>
      </c>
      <c r="B165">
        <v>18</v>
      </c>
      <c r="C165" t="str" cm="1">
        <f t="array" ref="C165">_xlfn.IFS(
    Dataset[[#This Row],[Age]]&lt;=10, "0-10",
    AND(Dataset[[#This Row],[Age]]&gt;10, Dataset[[#This Row],[Age]]&lt;=18), "11-18",
    AND(Dataset[[#This Row],[Age]]&gt;18, Dataset[[#This Row],[Age]]&lt;=30), "19-30",
    AND(Dataset[[#This Row],[Age]]&gt;30, Dataset[[#This Row],[Age]]&lt;=60), "31-60",
    Dataset[[#This Row],[Age]]&gt;60, "above 60"
)</f>
        <v>11-18</v>
      </c>
      <c r="D165">
        <v>1</v>
      </c>
      <c r="E165">
        <v>1</v>
      </c>
      <c r="F165">
        <v>0</v>
      </c>
      <c r="G16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65" s="1" t="s">
        <v>29</v>
      </c>
      <c r="I165" s="1" t="s">
        <v>15</v>
      </c>
      <c r="J165" s="1" t="s">
        <v>12</v>
      </c>
      <c r="K165">
        <v>1</v>
      </c>
    </row>
    <row r="166" spans="1:11" x14ac:dyDescent="0.3">
      <c r="A166" s="1" t="s">
        <v>9</v>
      </c>
      <c r="B166">
        <v>9</v>
      </c>
      <c r="C166" t="str" cm="1">
        <f t="array" ref="C166">_xlfn.IFS(
    Dataset[[#This Row],[Age]]&lt;=10, "0-10",
    AND(Dataset[[#This Row],[Age]]&gt;10, Dataset[[#This Row],[Age]]&lt;=18), "11-18",
    AND(Dataset[[#This Row],[Age]]&gt;18, Dataset[[#This Row],[Age]]&lt;=30), "19-30",
    AND(Dataset[[#This Row],[Age]]&gt;30, Dataset[[#This Row],[Age]]&lt;=60), "31-60",
    Dataset[[#This Row],[Age]]&gt;60, "above 60"
)</f>
        <v>0-10</v>
      </c>
      <c r="D166">
        <v>1</v>
      </c>
      <c r="E166">
        <v>1</v>
      </c>
      <c r="F166">
        <v>0</v>
      </c>
      <c r="G16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66" s="1" t="s">
        <v>30</v>
      </c>
      <c r="I166" s="1" t="s">
        <v>11</v>
      </c>
      <c r="J166" s="1" t="s">
        <v>22</v>
      </c>
      <c r="K166">
        <v>1</v>
      </c>
    </row>
    <row r="167" spans="1:11" x14ac:dyDescent="0.3">
      <c r="A167" s="1" t="s">
        <v>9</v>
      </c>
      <c r="B167">
        <v>63</v>
      </c>
      <c r="C167" t="str" cm="1">
        <f t="array" ref="C167">_xlfn.IFS(
    Dataset[[#This Row],[Age]]&lt;=10, "0-10",
    AND(Dataset[[#This Row],[Age]]&gt;10, Dataset[[#This Row],[Age]]&lt;=18), "11-18",
    AND(Dataset[[#This Row],[Age]]&gt;18, Dataset[[#This Row],[Age]]&lt;=30), "19-30",
    AND(Dataset[[#This Row],[Age]]&gt;30, Dataset[[#This Row],[Age]]&lt;=60), "31-60",
    Dataset[[#This Row],[Age]]&gt;60, "above 60"
)</f>
        <v>above 60</v>
      </c>
      <c r="D167">
        <v>0</v>
      </c>
      <c r="E167">
        <v>0</v>
      </c>
      <c r="F167">
        <v>1</v>
      </c>
      <c r="G16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67" s="1" t="s">
        <v>41</v>
      </c>
      <c r="I167" s="1" t="s">
        <v>15</v>
      </c>
      <c r="J167" s="1" t="s">
        <v>22</v>
      </c>
      <c r="K167">
        <v>0</v>
      </c>
    </row>
    <row r="168" spans="1:11" x14ac:dyDescent="0.3">
      <c r="A168" s="1" t="s">
        <v>13</v>
      </c>
      <c r="B168">
        <v>36</v>
      </c>
      <c r="C168" t="str" cm="1">
        <f t="array" ref="C168">_xlfn.IFS(
    Dataset[[#This Row],[Age]]&lt;=10, "0-10",
    AND(Dataset[[#This Row],[Age]]&gt;10, Dataset[[#This Row],[Age]]&lt;=18), "11-18",
    AND(Dataset[[#This Row],[Age]]&gt;18, Dataset[[#This Row],[Age]]&lt;=30), "19-30",
    AND(Dataset[[#This Row],[Age]]&gt;30, Dataset[[#This Row],[Age]]&lt;=60), "31-60",
    Dataset[[#This Row],[Age]]&gt;60, "above 60"
)</f>
        <v>31-60</v>
      </c>
      <c r="D168">
        <v>1</v>
      </c>
      <c r="E168">
        <v>1</v>
      </c>
      <c r="F168">
        <v>0</v>
      </c>
      <c r="G16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68" s="1" t="s">
        <v>20</v>
      </c>
      <c r="I168" s="1" t="s">
        <v>11</v>
      </c>
      <c r="J168" s="1" t="s">
        <v>12</v>
      </c>
      <c r="K168">
        <v>1</v>
      </c>
    </row>
    <row r="169" spans="1:11" x14ac:dyDescent="0.3">
      <c r="A169" s="1" t="s">
        <v>13</v>
      </c>
      <c r="B169">
        <v>15</v>
      </c>
      <c r="C169" t="str" cm="1">
        <f t="array" ref="C169">_xlfn.IFS(
    Dataset[[#This Row],[Age]]&lt;=10, "0-10",
    AND(Dataset[[#This Row],[Age]]&gt;10, Dataset[[#This Row],[Age]]&lt;=18), "11-18",
    AND(Dataset[[#This Row],[Age]]&gt;18, Dataset[[#This Row],[Age]]&lt;=30), "19-30",
    AND(Dataset[[#This Row],[Age]]&gt;30, Dataset[[#This Row],[Age]]&lt;=60), "31-60",
    Dataset[[#This Row],[Age]]&gt;60, "above 60"
)</f>
        <v>11-18</v>
      </c>
      <c r="D169">
        <v>0</v>
      </c>
      <c r="E169">
        <v>0</v>
      </c>
      <c r="F169">
        <v>1</v>
      </c>
      <c r="G16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69" s="1" t="s">
        <v>30</v>
      </c>
      <c r="I169" s="1" t="s">
        <v>15</v>
      </c>
      <c r="J169" s="1" t="s">
        <v>12</v>
      </c>
      <c r="K169">
        <v>0</v>
      </c>
    </row>
    <row r="170" spans="1:11" x14ac:dyDescent="0.3">
      <c r="A170" s="1" t="s">
        <v>13</v>
      </c>
      <c r="B170">
        <v>30</v>
      </c>
      <c r="C170" t="str" cm="1">
        <f t="array" ref="C170">_xlfn.IFS(
    Dataset[[#This Row],[Age]]&lt;=10, "0-10",
    AND(Dataset[[#This Row],[Age]]&gt;10, Dataset[[#This Row],[Age]]&lt;=18), "11-18",
    AND(Dataset[[#This Row],[Age]]&gt;18, Dataset[[#This Row],[Age]]&lt;=30), "19-30",
    AND(Dataset[[#This Row],[Age]]&gt;30, Dataset[[#This Row],[Age]]&lt;=60), "31-60",
    Dataset[[#This Row],[Age]]&gt;60, "above 60"
)</f>
        <v>19-30</v>
      </c>
      <c r="D170">
        <v>0</v>
      </c>
      <c r="E170">
        <v>0</v>
      </c>
      <c r="F170">
        <v>0</v>
      </c>
      <c r="G17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70" s="1" t="s">
        <v>16</v>
      </c>
      <c r="I170" s="1" t="s">
        <v>11</v>
      </c>
      <c r="J170" s="1" t="s">
        <v>17</v>
      </c>
      <c r="K170">
        <v>0</v>
      </c>
    </row>
    <row r="171" spans="1:11" x14ac:dyDescent="0.3">
      <c r="A171" s="1" t="s">
        <v>9</v>
      </c>
      <c r="B171">
        <v>40</v>
      </c>
      <c r="C171" t="str" cm="1">
        <f t="array" ref="C171">_xlfn.IFS(
    Dataset[[#This Row],[Age]]&lt;=10, "0-10",
    AND(Dataset[[#This Row],[Age]]&gt;10, Dataset[[#This Row],[Age]]&lt;=18), "11-18",
    AND(Dataset[[#This Row],[Age]]&gt;18, Dataset[[#This Row],[Age]]&lt;=30), "19-30",
    AND(Dataset[[#This Row],[Age]]&gt;30, Dataset[[#This Row],[Age]]&lt;=60), "31-60",
    Dataset[[#This Row],[Age]]&gt;60, "above 60"
)</f>
        <v>31-60</v>
      </c>
      <c r="D171">
        <v>1</v>
      </c>
      <c r="E171">
        <v>1</v>
      </c>
      <c r="F171">
        <v>0</v>
      </c>
      <c r="G17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71" s="1" t="s">
        <v>32</v>
      </c>
      <c r="I171" s="1" t="s">
        <v>15</v>
      </c>
      <c r="J171" s="1" t="s">
        <v>12</v>
      </c>
      <c r="K171">
        <v>1</v>
      </c>
    </row>
    <row r="172" spans="1:11" x14ac:dyDescent="0.3">
      <c r="A172" s="1" t="s">
        <v>13</v>
      </c>
      <c r="B172">
        <v>45</v>
      </c>
      <c r="C172" t="str" cm="1">
        <f t="array" ref="C172">_xlfn.IFS(
    Dataset[[#This Row],[Age]]&lt;=10, "0-10",
    AND(Dataset[[#This Row],[Age]]&gt;10, Dataset[[#This Row],[Age]]&lt;=18), "11-18",
    AND(Dataset[[#This Row],[Age]]&gt;18, Dataset[[#This Row],[Age]]&lt;=30), "19-30",
    AND(Dataset[[#This Row],[Age]]&gt;30, Dataset[[#This Row],[Age]]&lt;=60), "31-60",
    Dataset[[#This Row],[Age]]&gt;60, "above 60"
)</f>
        <v>31-60</v>
      </c>
      <c r="D172">
        <v>1</v>
      </c>
      <c r="E172">
        <v>1</v>
      </c>
      <c r="F172">
        <v>0</v>
      </c>
      <c r="G17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72" s="1" t="s">
        <v>16</v>
      </c>
      <c r="I172" s="1" t="s">
        <v>11</v>
      </c>
      <c r="J172" s="1" t="s">
        <v>22</v>
      </c>
      <c r="K172">
        <v>1</v>
      </c>
    </row>
    <row r="173" spans="1:11" x14ac:dyDescent="0.3">
      <c r="A173" s="1" t="s">
        <v>9</v>
      </c>
      <c r="B173">
        <v>14</v>
      </c>
      <c r="C173" t="str" cm="1">
        <f t="array" ref="C173">_xlfn.IFS(
    Dataset[[#This Row],[Age]]&lt;=10, "0-10",
    AND(Dataset[[#This Row],[Age]]&gt;10, Dataset[[#This Row],[Age]]&lt;=18), "11-18",
    AND(Dataset[[#This Row],[Age]]&gt;18, Dataset[[#This Row],[Age]]&lt;=30), "19-30",
    AND(Dataset[[#This Row],[Age]]&gt;30, Dataset[[#This Row],[Age]]&lt;=60), "31-60",
    Dataset[[#This Row],[Age]]&gt;60, "above 60"
)</f>
        <v>11-18</v>
      </c>
      <c r="D173">
        <v>0</v>
      </c>
      <c r="E173">
        <v>0</v>
      </c>
      <c r="F173">
        <v>1</v>
      </c>
      <c r="G17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73" s="1" t="s">
        <v>29</v>
      </c>
      <c r="I173" s="1" t="s">
        <v>15</v>
      </c>
      <c r="J173" s="1" t="s">
        <v>17</v>
      </c>
      <c r="K173">
        <v>0</v>
      </c>
    </row>
    <row r="174" spans="1:11" x14ac:dyDescent="0.3">
      <c r="A174" s="1" t="s">
        <v>9</v>
      </c>
      <c r="B174">
        <v>9</v>
      </c>
      <c r="C174" t="str" cm="1">
        <f t="array" ref="C174">_xlfn.IFS(
    Dataset[[#This Row],[Age]]&lt;=10, "0-10",
    AND(Dataset[[#This Row],[Age]]&gt;10, Dataset[[#This Row],[Age]]&lt;=18), "11-18",
    AND(Dataset[[#This Row],[Age]]&gt;18, Dataset[[#This Row],[Age]]&lt;=30), "19-30",
    AND(Dataset[[#This Row],[Age]]&gt;30, Dataset[[#This Row],[Age]]&lt;=60), "31-60",
    Dataset[[#This Row],[Age]]&gt;60, "above 60"
)</f>
        <v>0-10</v>
      </c>
      <c r="D174">
        <v>1</v>
      </c>
      <c r="E174">
        <v>1</v>
      </c>
      <c r="F174">
        <v>0</v>
      </c>
      <c r="G17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74" s="1" t="s">
        <v>20</v>
      </c>
      <c r="I174" s="1" t="s">
        <v>11</v>
      </c>
      <c r="J174" s="1" t="s">
        <v>22</v>
      </c>
      <c r="K174">
        <v>1</v>
      </c>
    </row>
    <row r="175" spans="1:11" x14ac:dyDescent="0.3">
      <c r="A175" s="1" t="s">
        <v>9</v>
      </c>
      <c r="B175">
        <v>42</v>
      </c>
      <c r="C175" t="str" cm="1">
        <f t="array" ref="C175">_xlfn.IFS(
    Dataset[[#This Row],[Age]]&lt;=10, "0-10",
    AND(Dataset[[#This Row],[Age]]&gt;10, Dataset[[#This Row],[Age]]&lt;=18), "11-18",
    AND(Dataset[[#This Row],[Age]]&gt;18, Dataset[[#This Row],[Age]]&lt;=30), "19-30",
    AND(Dataset[[#This Row],[Age]]&gt;30, Dataset[[#This Row],[Age]]&lt;=60), "31-60",
    Dataset[[#This Row],[Age]]&gt;60, "above 60"
)</f>
        <v>31-60</v>
      </c>
      <c r="D175">
        <v>0</v>
      </c>
      <c r="E175">
        <v>0</v>
      </c>
      <c r="F175">
        <v>1</v>
      </c>
      <c r="G17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75" s="1" t="s">
        <v>49</v>
      </c>
      <c r="I175" s="1" t="s">
        <v>15</v>
      </c>
      <c r="J175" s="1" t="s">
        <v>17</v>
      </c>
      <c r="K175">
        <v>0</v>
      </c>
    </row>
    <row r="176" spans="1:11" x14ac:dyDescent="0.3">
      <c r="A176" s="1" t="s">
        <v>9</v>
      </c>
      <c r="B176">
        <v>17</v>
      </c>
      <c r="C176" t="str" cm="1">
        <f t="array" ref="C176">_xlfn.IFS(
    Dataset[[#This Row],[Age]]&lt;=10, "0-10",
    AND(Dataset[[#This Row],[Age]]&gt;10, Dataset[[#This Row],[Age]]&lt;=18), "11-18",
    AND(Dataset[[#This Row],[Age]]&gt;18, Dataset[[#This Row],[Age]]&lt;=30), "19-30",
    AND(Dataset[[#This Row],[Age]]&gt;30, Dataset[[#This Row],[Age]]&lt;=60), "31-60",
    Dataset[[#This Row],[Age]]&gt;60, "above 60"
)</f>
        <v>11-18</v>
      </c>
      <c r="D176">
        <v>0</v>
      </c>
      <c r="E176">
        <v>0</v>
      </c>
      <c r="F176">
        <v>0</v>
      </c>
      <c r="G17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76" s="1" t="s">
        <v>23</v>
      </c>
      <c r="I176" s="1" t="s">
        <v>11</v>
      </c>
      <c r="J176" s="1" t="s">
        <v>12</v>
      </c>
      <c r="K176">
        <v>0</v>
      </c>
    </row>
    <row r="177" spans="1:11" x14ac:dyDescent="0.3">
      <c r="A177" s="1" t="s">
        <v>9</v>
      </c>
      <c r="B177">
        <v>49</v>
      </c>
      <c r="C177" t="str" cm="1">
        <f t="array" ref="C177">_xlfn.IFS(
    Dataset[[#This Row],[Age]]&lt;=10, "0-10",
    AND(Dataset[[#This Row],[Age]]&gt;10, Dataset[[#This Row],[Age]]&lt;=18), "11-18",
    AND(Dataset[[#This Row],[Age]]&gt;18, Dataset[[#This Row],[Age]]&lt;=30), "19-30",
    AND(Dataset[[#This Row],[Age]]&gt;30, Dataset[[#This Row],[Age]]&lt;=60), "31-60",
    Dataset[[#This Row],[Age]]&gt;60, "above 60"
)</f>
        <v>31-60</v>
      </c>
      <c r="D177">
        <v>0</v>
      </c>
      <c r="E177">
        <v>0</v>
      </c>
      <c r="F177">
        <v>0</v>
      </c>
      <c r="G17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77" s="1" t="s">
        <v>35</v>
      </c>
      <c r="I177" s="1" t="s">
        <v>15</v>
      </c>
      <c r="J177" s="1" t="s">
        <v>12</v>
      </c>
      <c r="K177">
        <v>0</v>
      </c>
    </row>
    <row r="178" spans="1:11" x14ac:dyDescent="0.3">
      <c r="A178" s="1" t="s">
        <v>13</v>
      </c>
      <c r="B178">
        <v>14</v>
      </c>
      <c r="C178" t="str" cm="1">
        <f t="array" ref="C178">_xlfn.IFS(
    Dataset[[#This Row],[Age]]&lt;=10, "0-10",
    AND(Dataset[[#This Row],[Age]]&gt;10, Dataset[[#This Row],[Age]]&lt;=18), "11-18",
    AND(Dataset[[#This Row],[Age]]&gt;18, Dataset[[#This Row],[Age]]&lt;=30), "19-30",
    AND(Dataset[[#This Row],[Age]]&gt;30, Dataset[[#This Row],[Age]]&lt;=60), "31-60",
    Dataset[[#This Row],[Age]]&gt;60, "above 60"
)</f>
        <v>11-18</v>
      </c>
      <c r="D178">
        <v>0</v>
      </c>
      <c r="E178">
        <v>0</v>
      </c>
      <c r="F178">
        <v>0</v>
      </c>
      <c r="G17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78" s="1" t="s">
        <v>48</v>
      </c>
      <c r="I178" s="1" t="s">
        <v>11</v>
      </c>
      <c r="J178" s="1" t="s">
        <v>17</v>
      </c>
      <c r="K178">
        <v>0</v>
      </c>
    </row>
    <row r="179" spans="1:11" x14ac:dyDescent="0.3">
      <c r="A179" s="1" t="s">
        <v>9</v>
      </c>
      <c r="B179">
        <v>41</v>
      </c>
      <c r="C179" t="str" cm="1">
        <f t="array" ref="C179">_xlfn.IFS(
    Dataset[[#This Row],[Age]]&lt;=10, "0-10",
    AND(Dataset[[#This Row],[Age]]&gt;10, Dataset[[#This Row],[Age]]&lt;=18), "11-18",
    AND(Dataset[[#This Row],[Age]]&gt;18, Dataset[[#This Row],[Age]]&lt;=30), "19-30",
    AND(Dataset[[#This Row],[Age]]&gt;30, Dataset[[#This Row],[Age]]&lt;=60), "31-60",
    Dataset[[#This Row],[Age]]&gt;60, "above 60"
)</f>
        <v>31-60</v>
      </c>
      <c r="D179">
        <v>0</v>
      </c>
      <c r="E179">
        <v>0</v>
      </c>
      <c r="F179">
        <v>0</v>
      </c>
      <c r="G17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79" s="1" t="s">
        <v>33</v>
      </c>
      <c r="I179" s="1" t="s">
        <v>15</v>
      </c>
      <c r="J179" s="1" t="s">
        <v>12</v>
      </c>
      <c r="K179">
        <v>0</v>
      </c>
    </row>
    <row r="180" spans="1:11" x14ac:dyDescent="0.3">
      <c r="A180" s="1" t="s">
        <v>9</v>
      </c>
      <c r="B180">
        <v>27</v>
      </c>
      <c r="C180" t="str" cm="1">
        <f t="array" ref="C180">_xlfn.IFS(
    Dataset[[#This Row],[Age]]&lt;=10, "0-10",
    AND(Dataset[[#This Row],[Age]]&gt;10, Dataset[[#This Row],[Age]]&lt;=18), "11-18",
    AND(Dataset[[#This Row],[Age]]&gt;18, Dataset[[#This Row],[Age]]&lt;=30), "19-30",
    AND(Dataset[[#This Row],[Age]]&gt;30, Dataset[[#This Row],[Age]]&lt;=60), "31-60",
    Dataset[[#This Row],[Age]]&gt;60, "above 60"
)</f>
        <v>19-30</v>
      </c>
      <c r="D180">
        <v>1</v>
      </c>
      <c r="E180">
        <v>1</v>
      </c>
      <c r="F180">
        <v>1</v>
      </c>
      <c r="G18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80" s="1" t="s">
        <v>51</v>
      </c>
      <c r="I180" s="1" t="s">
        <v>11</v>
      </c>
      <c r="J180" s="1" t="s">
        <v>17</v>
      </c>
      <c r="K180">
        <v>1</v>
      </c>
    </row>
    <row r="181" spans="1:11" x14ac:dyDescent="0.3">
      <c r="A181" s="1" t="s">
        <v>13</v>
      </c>
      <c r="B181">
        <v>38</v>
      </c>
      <c r="C181" t="str" cm="1">
        <f t="array" ref="C181">_xlfn.IFS(
    Dataset[[#This Row],[Age]]&lt;=10, "0-10",
    AND(Dataset[[#This Row],[Age]]&gt;10, Dataset[[#This Row],[Age]]&lt;=18), "11-18",
    AND(Dataset[[#This Row],[Age]]&gt;18, Dataset[[#This Row],[Age]]&lt;=30), "19-30",
    AND(Dataset[[#This Row],[Age]]&gt;30, Dataset[[#This Row],[Age]]&lt;=60), "31-60",
    Dataset[[#This Row],[Age]]&gt;60, "above 60"
)</f>
        <v>31-60</v>
      </c>
      <c r="D181">
        <v>1</v>
      </c>
      <c r="E181">
        <v>1</v>
      </c>
      <c r="F181">
        <v>0</v>
      </c>
      <c r="G18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81" s="1" t="s">
        <v>48</v>
      </c>
      <c r="I181" s="1" t="s">
        <v>15</v>
      </c>
      <c r="J181" s="1" t="s">
        <v>12</v>
      </c>
      <c r="K181">
        <v>1</v>
      </c>
    </row>
    <row r="182" spans="1:11" x14ac:dyDescent="0.3">
      <c r="A182" s="1" t="s">
        <v>9</v>
      </c>
      <c r="B182">
        <v>14</v>
      </c>
      <c r="C182" t="str" cm="1">
        <f t="array" ref="C182">_xlfn.IFS(
    Dataset[[#This Row],[Age]]&lt;=10, "0-10",
    AND(Dataset[[#This Row],[Age]]&gt;10, Dataset[[#This Row],[Age]]&lt;=18), "11-18",
    AND(Dataset[[#This Row],[Age]]&gt;18, Dataset[[#This Row],[Age]]&lt;=30), "19-30",
    AND(Dataset[[#This Row],[Age]]&gt;30, Dataset[[#This Row],[Age]]&lt;=60), "31-60",
    Dataset[[#This Row],[Age]]&gt;60, "above 60"
)</f>
        <v>11-18</v>
      </c>
      <c r="D182">
        <v>1</v>
      </c>
      <c r="E182">
        <v>1</v>
      </c>
      <c r="F182">
        <v>0</v>
      </c>
      <c r="G18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82" s="1" t="s">
        <v>50</v>
      </c>
      <c r="I182" s="1" t="s">
        <v>11</v>
      </c>
      <c r="J182" s="1" t="s">
        <v>17</v>
      </c>
      <c r="K182">
        <v>1</v>
      </c>
    </row>
    <row r="183" spans="1:11" x14ac:dyDescent="0.3">
      <c r="A183" s="1" t="s">
        <v>13</v>
      </c>
      <c r="B183">
        <v>28</v>
      </c>
      <c r="C183" t="str" cm="1">
        <f t="array" ref="C183">_xlfn.IFS(
    Dataset[[#This Row],[Age]]&lt;=10, "0-10",
    AND(Dataset[[#This Row],[Age]]&gt;10, Dataset[[#This Row],[Age]]&lt;=18), "11-18",
    AND(Dataset[[#This Row],[Age]]&gt;18, Dataset[[#This Row],[Age]]&lt;=30), "19-30",
    AND(Dataset[[#This Row],[Age]]&gt;30, Dataset[[#This Row],[Age]]&lt;=60), "31-60",
    Dataset[[#This Row],[Age]]&gt;60, "above 60"
)</f>
        <v>19-30</v>
      </c>
      <c r="D183">
        <v>0</v>
      </c>
      <c r="E183">
        <v>0</v>
      </c>
      <c r="F183">
        <v>1</v>
      </c>
      <c r="G18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83" s="1" t="s">
        <v>48</v>
      </c>
      <c r="I183" s="1" t="s">
        <v>15</v>
      </c>
      <c r="J183" s="1" t="s">
        <v>22</v>
      </c>
      <c r="K183">
        <v>0</v>
      </c>
    </row>
    <row r="184" spans="1:11" x14ac:dyDescent="0.3">
      <c r="A184" s="1" t="s">
        <v>13</v>
      </c>
      <c r="B184">
        <v>35</v>
      </c>
      <c r="C184" t="str" cm="1">
        <f t="array" ref="C184">_xlfn.IFS(
    Dataset[[#This Row],[Age]]&lt;=10, "0-10",
    AND(Dataset[[#This Row],[Age]]&gt;10, Dataset[[#This Row],[Age]]&lt;=18), "11-18",
    AND(Dataset[[#This Row],[Age]]&gt;18, Dataset[[#This Row],[Age]]&lt;=30), "19-30",
    AND(Dataset[[#This Row],[Age]]&gt;30, Dataset[[#This Row],[Age]]&lt;=60), "31-60",
    Dataset[[#This Row],[Age]]&gt;60, "above 60"
)</f>
        <v>31-60</v>
      </c>
      <c r="D184">
        <v>1</v>
      </c>
      <c r="E184">
        <v>1</v>
      </c>
      <c r="F184">
        <v>1</v>
      </c>
      <c r="G18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84" s="1" t="s">
        <v>51</v>
      </c>
      <c r="I184" s="1" t="s">
        <v>11</v>
      </c>
      <c r="J184" s="1" t="s">
        <v>12</v>
      </c>
      <c r="K184">
        <v>1</v>
      </c>
    </row>
    <row r="185" spans="1:11" x14ac:dyDescent="0.3">
      <c r="A185" s="1" t="s">
        <v>13</v>
      </c>
      <c r="B185">
        <v>59</v>
      </c>
      <c r="C185" t="str" cm="1">
        <f t="array" ref="C185">_xlfn.IFS(
    Dataset[[#This Row],[Age]]&lt;=10, "0-10",
    AND(Dataset[[#This Row],[Age]]&gt;10, Dataset[[#This Row],[Age]]&lt;=18), "11-18",
    AND(Dataset[[#This Row],[Age]]&gt;18, Dataset[[#This Row],[Age]]&lt;=30), "19-30",
    AND(Dataset[[#This Row],[Age]]&gt;30, Dataset[[#This Row],[Age]]&lt;=60), "31-60",
    Dataset[[#This Row],[Age]]&gt;60, "above 60"
)</f>
        <v>31-60</v>
      </c>
      <c r="D185">
        <v>0</v>
      </c>
      <c r="E185">
        <v>0</v>
      </c>
      <c r="F185">
        <v>1</v>
      </c>
      <c r="G18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85" s="1" t="s">
        <v>51</v>
      </c>
      <c r="I185" s="1" t="s">
        <v>15</v>
      </c>
      <c r="J185" s="1" t="s">
        <v>12</v>
      </c>
      <c r="K185">
        <v>0</v>
      </c>
    </row>
    <row r="186" spans="1:11" x14ac:dyDescent="0.3">
      <c r="A186" s="1" t="s">
        <v>9</v>
      </c>
      <c r="B186">
        <v>58</v>
      </c>
      <c r="C186" t="str" cm="1">
        <f t="array" ref="C186">_xlfn.IFS(
    Dataset[[#This Row],[Age]]&lt;=10, "0-10",
    AND(Dataset[[#This Row],[Age]]&gt;10, Dataset[[#This Row],[Age]]&lt;=18), "11-18",
    AND(Dataset[[#This Row],[Age]]&gt;18, Dataset[[#This Row],[Age]]&lt;=30), "19-30",
    AND(Dataset[[#This Row],[Age]]&gt;30, Dataset[[#This Row],[Age]]&lt;=60), "31-60",
    Dataset[[#This Row],[Age]]&gt;60, "above 60"
)</f>
        <v>31-60</v>
      </c>
      <c r="D186">
        <v>1</v>
      </c>
      <c r="E186">
        <v>1</v>
      </c>
      <c r="F186">
        <v>1</v>
      </c>
      <c r="G18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86" s="1" t="s">
        <v>41</v>
      </c>
      <c r="I186" s="1" t="s">
        <v>11</v>
      </c>
      <c r="J186" s="1" t="s">
        <v>12</v>
      </c>
      <c r="K186">
        <v>1</v>
      </c>
    </row>
    <row r="187" spans="1:11" x14ac:dyDescent="0.3">
      <c r="A187" s="1" t="s">
        <v>13</v>
      </c>
      <c r="B187">
        <v>40</v>
      </c>
      <c r="C187" t="str" cm="1">
        <f t="array" ref="C187">_xlfn.IFS(
    Dataset[[#This Row],[Age]]&lt;=10, "0-10",
    AND(Dataset[[#This Row],[Age]]&gt;10, Dataset[[#This Row],[Age]]&lt;=18), "11-18",
    AND(Dataset[[#This Row],[Age]]&gt;18, Dataset[[#This Row],[Age]]&lt;=30), "19-30",
    AND(Dataset[[#This Row],[Age]]&gt;30, Dataset[[#This Row],[Age]]&lt;=60), "31-60",
    Dataset[[#This Row],[Age]]&gt;60, "above 60"
)</f>
        <v>31-60</v>
      </c>
      <c r="D187">
        <v>0</v>
      </c>
      <c r="E187">
        <v>0</v>
      </c>
      <c r="F187">
        <v>1</v>
      </c>
      <c r="G18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87" s="1" t="s">
        <v>46</v>
      </c>
      <c r="I187" s="1" t="s">
        <v>15</v>
      </c>
      <c r="J187" s="1" t="s">
        <v>12</v>
      </c>
      <c r="K187">
        <v>0</v>
      </c>
    </row>
    <row r="188" spans="1:11" x14ac:dyDescent="0.3">
      <c r="A188" s="1" t="s">
        <v>13</v>
      </c>
      <c r="B188">
        <v>25</v>
      </c>
      <c r="C188" t="str" cm="1">
        <f t="array" ref="C188">_xlfn.IFS(
    Dataset[[#This Row],[Age]]&lt;=10, "0-10",
    AND(Dataset[[#This Row],[Age]]&gt;10, Dataset[[#This Row],[Age]]&lt;=18), "11-18",
    AND(Dataset[[#This Row],[Age]]&gt;18, Dataset[[#This Row],[Age]]&lt;=30), "19-30",
    AND(Dataset[[#This Row],[Age]]&gt;30, Dataset[[#This Row],[Age]]&lt;=60), "31-60",
    Dataset[[#This Row],[Age]]&gt;60, "above 60"
)</f>
        <v>19-30</v>
      </c>
      <c r="D188">
        <v>0</v>
      </c>
      <c r="E188">
        <v>0</v>
      </c>
      <c r="F188">
        <v>1</v>
      </c>
      <c r="G18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88" s="1" t="s">
        <v>16</v>
      </c>
      <c r="I188" s="1" t="s">
        <v>11</v>
      </c>
      <c r="J188" s="1" t="s">
        <v>22</v>
      </c>
      <c r="K188">
        <v>0</v>
      </c>
    </row>
    <row r="189" spans="1:11" x14ac:dyDescent="0.3">
      <c r="A189" s="1" t="s">
        <v>13</v>
      </c>
      <c r="B189">
        <v>63</v>
      </c>
      <c r="C189" t="str" cm="1">
        <f t="array" ref="C189">_xlfn.IFS(
    Dataset[[#This Row],[Age]]&lt;=10, "0-10",
    AND(Dataset[[#This Row],[Age]]&gt;10, Dataset[[#This Row],[Age]]&lt;=18), "11-18",
    AND(Dataset[[#This Row],[Age]]&gt;18, Dataset[[#This Row],[Age]]&lt;=30), "19-30",
    AND(Dataset[[#This Row],[Age]]&gt;30, Dataset[[#This Row],[Age]]&lt;=60), "31-60",
    Dataset[[#This Row],[Age]]&gt;60, "above 60"
)</f>
        <v>above 60</v>
      </c>
      <c r="D189">
        <v>0</v>
      </c>
      <c r="E189">
        <v>0</v>
      </c>
      <c r="F189">
        <v>1</v>
      </c>
      <c r="G18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89" s="1" t="s">
        <v>38</v>
      </c>
      <c r="I189" s="1" t="s">
        <v>15</v>
      </c>
      <c r="J189" s="1" t="s">
        <v>17</v>
      </c>
      <c r="K189">
        <v>0</v>
      </c>
    </row>
    <row r="190" spans="1:11" x14ac:dyDescent="0.3">
      <c r="A190" s="1" t="s">
        <v>9</v>
      </c>
      <c r="B190">
        <v>48</v>
      </c>
      <c r="C190" t="str" cm="1">
        <f t="array" ref="C190">_xlfn.IFS(
    Dataset[[#This Row],[Age]]&lt;=10, "0-10",
    AND(Dataset[[#This Row],[Age]]&gt;10, Dataset[[#This Row],[Age]]&lt;=18), "11-18",
    AND(Dataset[[#This Row],[Age]]&gt;18, Dataset[[#This Row],[Age]]&lt;=30), "19-30",
    AND(Dataset[[#This Row],[Age]]&gt;30, Dataset[[#This Row],[Age]]&lt;=60), "31-60",
    Dataset[[#This Row],[Age]]&gt;60, "above 60"
)</f>
        <v>31-60</v>
      </c>
      <c r="D190">
        <v>1</v>
      </c>
      <c r="E190">
        <v>1</v>
      </c>
      <c r="F190">
        <v>0</v>
      </c>
      <c r="G19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90" s="1" t="s">
        <v>40</v>
      </c>
      <c r="I190" s="1" t="s">
        <v>11</v>
      </c>
      <c r="J190" s="1" t="s">
        <v>12</v>
      </c>
      <c r="K190">
        <v>1</v>
      </c>
    </row>
    <row r="191" spans="1:11" x14ac:dyDescent="0.3">
      <c r="A191" s="1" t="s">
        <v>13</v>
      </c>
      <c r="B191">
        <v>15</v>
      </c>
      <c r="C191" t="str" cm="1">
        <f t="array" ref="C191">_xlfn.IFS(
    Dataset[[#This Row],[Age]]&lt;=10, "0-10",
    AND(Dataset[[#This Row],[Age]]&gt;10, Dataset[[#This Row],[Age]]&lt;=18), "11-18",
    AND(Dataset[[#This Row],[Age]]&gt;18, Dataset[[#This Row],[Age]]&lt;=30), "19-30",
    AND(Dataset[[#This Row],[Age]]&gt;30, Dataset[[#This Row],[Age]]&lt;=60), "31-60",
    Dataset[[#This Row],[Age]]&gt;60, "above 60"
)</f>
        <v>11-18</v>
      </c>
      <c r="D191">
        <v>1</v>
      </c>
      <c r="E191">
        <v>1</v>
      </c>
      <c r="F191">
        <v>1</v>
      </c>
      <c r="G19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91" s="1" t="s">
        <v>25</v>
      </c>
      <c r="I191" s="1" t="s">
        <v>15</v>
      </c>
      <c r="J191" s="1" t="s">
        <v>22</v>
      </c>
      <c r="K191">
        <v>1</v>
      </c>
    </row>
    <row r="192" spans="1:11" x14ac:dyDescent="0.3">
      <c r="A192" s="1" t="s">
        <v>13</v>
      </c>
      <c r="B192">
        <v>60</v>
      </c>
      <c r="C192" t="str" cm="1">
        <f t="array" ref="C192">_xlfn.IFS(
    Dataset[[#This Row],[Age]]&lt;=10, "0-10",
    AND(Dataset[[#This Row],[Age]]&gt;10, Dataset[[#This Row],[Age]]&lt;=18), "11-18",
    AND(Dataset[[#This Row],[Age]]&gt;18, Dataset[[#This Row],[Age]]&lt;=30), "19-30",
    AND(Dataset[[#This Row],[Age]]&gt;30, Dataset[[#This Row],[Age]]&lt;=60), "31-60",
    Dataset[[#This Row],[Age]]&gt;60, "above 60"
)</f>
        <v>31-60</v>
      </c>
      <c r="D192">
        <v>0</v>
      </c>
      <c r="E192">
        <v>0</v>
      </c>
      <c r="F192">
        <v>1</v>
      </c>
      <c r="G19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92" s="1" t="s">
        <v>47</v>
      </c>
      <c r="I192" s="1" t="s">
        <v>11</v>
      </c>
      <c r="J192" s="1" t="s">
        <v>17</v>
      </c>
      <c r="K192">
        <v>0</v>
      </c>
    </row>
    <row r="193" spans="1:11" x14ac:dyDescent="0.3">
      <c r="A193" s="1" t="s">
        <v>9</v>
      </c>
      <c r="B193">
        <v>13</v>
      </c>
      <c r="C193" t="str" cm="1">
        <f t="array" ref="C193">_xlfn.IFS(
    Dataset[[#This Row],[Age]]&lt;=10, "0-10",
    AND(Dataset[[#This Row],[Age]]&gt;10, Dataset[[#This Row],[Age]]&lt;=18), "11-18",
    AND(Dataset[[#This Row],[Age]]&gt;18, Dataset[[#This Row],[Age]]&lt;=30), "19-30",
    AND(Dataset[[#This Row],[Age]]&gt;30, Dataset[[#This Row],[Age]]&lt;=60), "31-60",
    Dataset[[#This Row],[Age]]&gt;60, "above 60"
)</f>
        <v>11-18</v>
      </c>
      <c r="D193">
        <v>0</v>
      </c>
      <c r="E193">
        <v>0</v>
      </c>
      <c r="F193">
        <v>1</v>
      </c>
      <c r="G19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93" s="1" t="s">
        <v>42</v>
      </c>
      <c r="I193" s="1" t="s">
        <v>15</v>
      </c>
      <c r="J193" s="1" t="s">
        <v>22</v>
      </c>
      <c r="K193">
        <v>0</v>
      </c>
    </row>
    <row r="194" spans="1:11" x14ac:dyDescent="0.3">
      <c r="A194" s="1" t="s">
        <v>9</v>
      </c>
      <c r="B194">
        <v>58</v>
      </c>
      <c r="C194" t="str" cm="1">
        <f t="array" ref="C194">_xlfn.IFS(
    Dataset[[#This Row],[Age]]&lt;=10, "0-10",
    AND(Dataset[[#This Row],[Age]]&gt;10, Dataset[[#This Row],[Age]]&lt;=18), "11-18",
    AND(Dataset[[#This Row],[Age]]&gt;18, Dataset[[#This Row],[Age]]&lt;=30), "19-30",
    AND(Dataset[[#This Row],[Age]]&gt;30, Dataset[[#This Row],[Age]]&lt;=60), "31-60",
    Dataset[[#This Row],[Age]]&gt;60, "above 60"
)</f>
        <v>31-60</v>
      </c>
      <c r="D194">
        <v>0</v>
      </c>
      <c r="E194">
        <v>0</v>
      </c>
      <c r="F194">
        <v>1</v>
      </c>
      <c r="G19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94" s="1" t="s">
        <v>32</v>
      </c>
      <c r="I194" s="1" t="s">
        <v>11</v>
      </c>
      <c r="J194" s="1" t="s">
        <v>22</v>
      </c>
      <c r="K194">
        <v>0</v>
      </c>
    </row>
    <row r="195" spans="1:11" x14ac:dyDescent="0.3">
      <c r="A195" s="1" t="s">
        <v>13</v>
      </c>
      <c r="B195">
        <v>53</v>
      </c>
      <c r="C195" t="str" cm="1">
        <f t="array" ref="C195">_xlfn.IFS(
    Dataset[[#This Row],[Age]]&lt;=10, "0-10",
    AND(Dataset[[#This Row],[Age]]&gt;10, Dataset[[#This Row],[Age]]&lt;=18), "11-18",
    AND(Dataset[[#This Row],[Age]]&gt;18, Dataset[[#This Row],[Age]]&lt;=30), "19-30",
    AND(Dataset[[#This Row],[Age]]&gt;30, Dataset[[#This Row],[Age]]&lt;=60), "31-60",
    Dataset[[#This Row],[Age]]&gt;60, "above 60"
)</f>
        <v>31-60</v>
      </c>
      <c r="D195">
        <v>1</v>
      </c>
      <c r="E195">
        <v>1</v>
      </c>
      <c r="F195">
        <v>1</v>
      </c>
      <c r="G19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95" s="1" t="s">
        <v>20</v>
      </c>
      <c r="I195" s="1" t="s">
        <v>15</v>
      </c>
      <c r="J195" s="1" t="s">
        <v>17</v>
      </c>
      <c r="K195">
        <v>1</v>
      </c>
    </row>
    <row r="196" spans="1:11" x14ac:dyDescent="0.3">
      <c r="A196" s="1" t="s">
        <v>13</v>
      </c>
      <c r="B196">
        <v>61</v>
      </c>
      <c r="C196" t="str" cm="1">
        <f t="array" ref="C196">_xlfn.IFS(
    Dataset[[#This Row],[Age]]&lt;=10, "0-10",
    AND(Dataset[[#This Row],[Age]]&gt;10, Dataset[[#This Row],[Age]]&lt;=18), "11-18",
    AND(Dataset[[#This Row],[Age]]&gt;18, Dataset[[#This Row],[Age]]&lt;=30), "19-30",
    AND(Dataset[[#This Row],[Age]]&gt;30, Dataset[[#This Row],[Age]]&lt;=60), "31-60",
    Dataset[[#This Row],[Age]]&gt;60, "above 60"
)</f>
        <v>above 60</v>
      </c>
      <c r="D196">
        <v>1</v>
      </c>
      <c r="E196">
        <v>1</v>
      </c>
      <c r="F196">
        <v>1</v>
      </c>
      <c r="G19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196" s="1" t="s">
        <v>47</v>
      </c>
      <c r="I196" s="1" t="s">
        <v>11</v>
      </c>
      <c r="J196" s="1" t="s">
        <v>22</v>
      </c>
      <c r="K196">
        <v>1</v>
      </c>
    </row>
    <row r="197" spans="1:11" x14ac:dyDescent="0.3">
      <c r="A197" s="1" t="s">
        <v>9</v>
      </c>
      <c r="B197">
        <v>44</v>
      </c>
      <c r="C197" t="str" cm="1">
        <f t="array" ref="C197">_xlfn.IFS(
    Dataset[[#This Row],[Age]]&lt;=10, "0-10",
    AND(Dataset[[#This Row],[Age]]&gt;10, Dataset[[#This Row],[Age]]&lt;=18), "11-18",
    AND(Dataset[[#This Row],[Age]]&gt;18, Dataset[[#This Row],[Age]]&lt;=30), "19-30",
    AND(Dataset[[#This Row],[Age]]&gt;30, Dataset[[#This Row],[Age]]&lt;=60), "31-60",
    Dataset[[#This Row],[Age]]&gt;60, "above 60"
)</f>
        <v>31-60</v>
      </c>
      <c r="D197">
        <v>0</v>
      </c>
      <c r="E197">
        <v>0</v>
      </c>
      <c r="F197">
        <v>1</v>
      </c>
      <c r="G19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97" s="1" t="s">
        <v>47</v>
      </c>
      <c r="I197" s="1" t="s">
        <v>15</v>
      </c>
      <c r="J197" s="1" t="s">
        <v>17</v>
      </c>
      <c r="K197">
        <v>0</v>
      </c>
    </row>
    <row r="198" spans="1:11" x14ac:dyDescent="0.3">
      <c r="A198" s="1" t="s">
        <v>9</v>
      </c>
      <c r="B198">
        <v>40</v>
      </c>
      <c r="C198" t="str" cm="1">
        <f t="array" ref="C198">_xlfn.IFS(
    Dataset[[#This Row],[Age]]&lt;=10, "0-10",
    AND(Dataset[[#This Row],[Age]]&gt;10, Dataset[[#This Row],[Age]]&lt;=18), "11-18",
    AND(Dataset[[#This Row],[Age]]&gt;18, Dataset[[#This Row],[Age]]&lt;=30), "19-30",
    AND(Dataset[[#This Row],[Age]]&gt;30, Dataset[[#This Row],[Age]]&lt;=60), "31-60",
    Dataset[[#This Row],[Age]]&gt;60, "above 60"
)</f>
        <v>31-60</v>
      </c>
      <c r="D198">
        <v>0</v>
      </c>
      <c r="E198">
        <v>0</v>
      </c>
      <c r="F198">
        <v>0</v>
      </c>
      <c r="G19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98" s="1" t="s">
        <v>46</v>
      </c>
      <c r="I198" s="1" t="s">
        <v>11</v>
      </c>
      <c r="J198" s="1" t="s">
        <v>22</v>
      </c>
      <c r="K198">
        <v>0</v>
      </c>
    </row>
    <row r="199" spans="1:11" x14ac:dyDescent="0.3">
      <c r="A199" s="1" t="s">
        <v>13</v>
      </c>
      <c r="B199">
        <v>49</v>
      </c>
      <c r="C199" t="str" cm="1">
        <f t="array" ref="C199">_xlfn.IFS(
    Dataset[[#This Row],[Age]]&lt;=10, "0-10",
    AND(Dataset[[#This Row],[Age]]&gt;10, Dataset[[#This Row],[Age]]&lt;=18), "11-18",
    AND(Dataset[[#This Row],[Age]]&gt;18, Dataset[[#This Row],[Age]]&lt;=30), "19-30",
    AND(Dataset[[#This Row],[Age]]&gt;30, Dataset[[#This Row],[Age]]&lt;=60), "31-60",
    Dataset[[#This Row],[Age]]&gt;60, "above 60"
)</f>
        <v>31-60</v>
      </c>
      <c r="D199">
        <v>0</v>
      </c>
      <c r="E199">
        <v>0</v>
      </c>
      <c r="F199">
        <v>0</v>
      </c>
      <c r="G19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199" s="1" t="s">
        <v>20</v>
      </c>
      <c r="I199" s="1" t="s">
        <v>15</v>
      </c>
      <c r="J199" s="1" t="s">
        <v>22</v>
      </c>
      <c r="K199">
        <v>0</v>
      </c>
    </row>
    <row r="200" spans="1:11" x14ac:dyDescent="0.3">
      <c r="A200" s="1" t="s">
        <v>13</v>
      </c>
      <c r="B200">
        <v>56</v>
      </c>
      <c r="C200" t="str" cm="1">
        <f t="array" ref="C200">_xlfn.IFS(
    Dataset[[#This Row],[Age]]&lt;=10, "0-10",
    AND(Dataset[[#This Row],[Age]]&gt;10, Dataset[[#This Row],[Age]]&lt;=18), "11-18",
    AND(Dataset[[#This Row],[Age]]&gt;18, Dataset[[#This Row],[Age]]&lt;=30), "19-30",
    AND(Dataset[[#This Row],[Age]]&gt;30, Dataset[[#This Row],[Age]]&lt;=60), "31-60",
    Dataset[[#This Row],[Age]]&gt;60, "above 60"
)</f>
        <v>31-60</v>
      </c>
      <c r="D200">
        <v>1</v>
      </c>
      <c r="E200">
        <v>1</v>
      </c>
      <c r="F200">
        <v>0</v>
      </c>
      <c r="G20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00" s="1" t="s">
        <v>26</v>
      </c>
      <c r="I200" s="1" t="s">
        <v>11</v>
      </c>
      <c r="J200" s="1" t="s">
        <v>12</v>
      </c>
      <c r="K200">
        <v>1</v>
      </c>
    </row>
    <row r="201" spans="1:11" x14ac:dyDescent="0.3">
      <c r="A201" s="1" t="s">
        <v>9</v>
      </c>
      <c r="B201">
        <v>28</v>
      </c>
      <c r="C201" t="str" cm="1">
        <f t="array" ref="C201">_xlfn.IFS(
    Dataset[[#This Row],[Age]]&lt;=10, "0-10",
    AND(Dataset[[#This Row],[Age]]&gt;10, Dataset[[#This Row],[Age]]&lt;=18), "11-18",
    AND(Dataset[[#This Row],[Age]]&gt;18, Dataset[[#This Row],[Age]]&lt;=30), "19-30",
    AND(Dataset[[#This Row],[Age]]&gt;30, Dataset[[#This Row],[Age]]&lt;=60), "31-60",
    Dataset[[#This Row],[Age]]&gt;60, "above 60"
)</f>
        <v>19-30</v>
      </c>
      <c r="D201">
        <v>0</v>
      </c>
      <c r="E201">
        <v>0</v>
      </c>
      <c r="F201">
        <v>1</v>
      </c>
      <c r="G20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01" s="1" t="s">
        <v>48</v>
      </c>
      <c r="I201" s="1" t="s">
        <v>15</v>
      </c>
      <c r="J201" s="1" t="s">
        <v>12</v>
      </c>
      <c r="K201">
        <v>0</v>
      </c>
    </row>
    <row r="202" spans="1:11" x14ac:dyDescent="0.3">
      <c r="A202" s="1" t="s">
        <v>13</v>
      </c>
      <c r="B202">
        <v>40</v>
      </c>
      <c r="C202" t="str" cm="1">
        <f t="array" ref="C202">_xlfn.IFS(
    Dataset[[#This Row],[Age]]&lt;=10, "0-10",
    AND(Dataset[[#This Row],[Age]]&gt;10, Dataset[[#This Row],[Age]]&lt;=18), "11-18",
    AND(Dataset[[#This Row],[Age]]&gt;18, Dataset[[#This Row],[Age]]&lt;=30), "19-30",
    AND(Dataset[[#This Row],[Age]]&gt;30, Dataset[[#This Row],[Age]]&lt;=60), "31-60",
    Dataset[[#This Row],[Age]]&gt;60, "above 60"
)</f>
        <v>31-60</v>
      </c>
      <c r="D202">
        <v>0</v>
      </c>
      <c r="E202">
        <v>0</v>
      </c>
      <c r="F202">
        <v>0</v>
      </c>
      <c r="G20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02" s="1" t="s">
        <v>49</v>
      </c>
      <c r="I202" s="1" t="s">
        <v>11</v>
      </c>
      <c r="J202" s="1" t="s">
        <v>22</v>
      </c>
      <c r="K202">
        <v>0</v>
      </c>
    </row>
    <row r="203" spans="1:11" x14ac:dyDescent="0.3">
      <c r="A203" s="1" t="s">
        <v>13</v>
      </c>
      <c r="B203">
        <v>25</v>
      </c>
      <c r="C203" t="str" cm="1">
        <f t="array" ref="C203">_xlfn.IFS(
    Dataset[[#This Row],[Age]]&lt;=10, "0-10",
    AND(Dataset[[#This Row],[Age]]&gt;10, Dataset[[#This Row],[Age]]&lt;=18), "11-18",
    AND(Dataset[[#This Row],[Age]]&gt;18, Dataset[[#This Row],[Age]]&lt;=30), "19-30",
    AND(Dataset[[#This Row],[Age]]&gt;30, Dataset[[#This Row],[Age]]&lt;=60), "31-60",
    Dataset[[#This Row],[Age]]&gt;60, "above 60"
)</f>
        <v>19-30</v>
      </c>
      <c r="D203">
        <v>1</v>
      </c>
      <c r="E203">
        <v>1</v>
      </c>
      <c r="F203">
        <v>0</v>
      </c>
      <c r="G20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03" s="1" t="s">
        <v>51</v>
      </c>
      <c r="I203" s="1" t="s">
        <v>15</v>
      </c>
      <c r="J203" s="1" t="s">
        <v>22</v>
      </c>
      <c r="K203">
        <v>1</v>
      </c>
    </row>
    <row r="204" spans="1:11" x14ac:dyDescent="0.3">
      <c r="A204" s="1" t="s">
        <v>9</v>
      </c>
      <c r="B204">
        <v>52</v>
      </c>
      <c r="C204" t="str" cm="1">
        <f t="array" ref="C204">_xlfn.IFS(
    Dataset[[#This Row],[Age]]&lt;=10, "0-10",
    AND(Dataset[[#This Row],[Age]]&gt;10, Dataset[[#This Row],[Age]]&lt;=18), "11-18",
    AND(Dataset[[#This Row],[Age]]&gt;18, Dataset[[#This Row],[Age]]&lt;=30), "19-30",
    AND(Dataset[[#This Row],[Age]]&gt;30, Dataset[[#This Row],[Age]]&lt;=60), "31-60",
    Dataset[[#This Row],[Age]]&gt;60, "above 60"
)</f>
        <v>31-60</v>
      </c>
      <c r="D204">
        <v>0</v>
      </c>
      <c r="E204">
        <v>0</v>
      </c>
      <c r="F204">
        <v>0</v>
      </c>
      <c r="G20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04" s="1" t="s">
        <v>16</v>
      </c>
      <c r="I204" s="1" t="s">
        <v>11</v>
      </c>
      <c r="J204" s="1" t="s">
        <v>12</v>
      </c>
      <c r="K204">
        <v>0</v>
      </c>
    </row>
    <row r="205" spans="1:11" x14ac:dyDescent="0.3">
      <c r="A205" s="1" t="s">
        <v>9</v>
      </c>
      <c r="B205">
        <v>60</v>
      </c>
      <c r="C205" t="str" cm="1">
        <f t="array" ref="C205">_xlfn.IFS(
    Dataset[[#This Row],[Age]]&lt;=10, "0-10",
    AND(Dataset[[#This Row],[Age]]&gt;10, Dataset[[#This Row],[Age]]&lt;=18), "11-18",
    AND(Dataset[[#This Row],[Age]]&gt;18, Dataset[[#This Row],[Age]]&lt;=30), "19-30",
    AND(Dataset[[#This Row],[Age]]&gt;30, Dataset[[#This Row],[Age]]&lt;=60), "31-60",
    Dataset[[#This Row],[Age]]&gt;60, "above 60"
)</f>
        <v>31-60</v>
      </c>
      <c r="D205">
        <v>0</v>
      </c>
      <c r="E205">
        <v>0</v>
      </c>
      <c r="F205">
        <v>0</v>
      </c>
      <c r="G20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05" s="1" t="s">
        <v>42</v>
      </c>
      <c r="I205" s="1" t="s">
        <v>15</v>
      </c>
      <c r="J205" s="1" t="s">
        <v>17</v>
      </c>
      <c r="K205">
        <v>0</v>
      </c>
    </row>
    <row r="206" spans="1:11" x14ac:dyDescent="0.3">
      <c r="A206" s="1" t="s">
        <v>9</v>
      </c>
      <c r="B206">
        <v>59</v>
      </c>
      <c r="C206" t="str" cm="1">
        <f t="array" ref="C206">_xlfn.IFS(
    Dataset[[#This Row],[Age]]&lt;=10, "0-10",
    AND(Dataset[[#This Row],[Age]]&gt;10, Dataset[[#This Row],[Age]]&lt;=18), "11-18",
    AND(Dataset[[#This Row],[Age]]&gt;18, Dataset[[#This Row],[Age]]&lt;=30), "19-30",
    AND(Dataset[[#This Row],[Age]]&gt;30, Dataset[[#This Row],[Age]]&lt;=60), "31-60",
    Dataset[[#This Row],[Age]]&gt;60, "above 60"
)</f>
        <v>31-60</v>
      </c>
      <c r="D206">
        <v>0</v>
      </c>
      <c r="E206">
        <v>0</v>
      </c>
      <c r="F206">
        <v>1</v>
      </c>
      <c r="G20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06" s="1" t="s">
        <v>29</v>
      </c>
      <c r="I206" s="1" t="s">
        <v>11</v>
      </c>
      <c r="J206" s="1" t="s">
        <v>12</v>
      </c>
      <c r="K206">
        <v>0</v>
      </c>
    </row>
    <row r="207" spans="1:11" x14ac:dyDescent="0.3">
      <c r="A207" s="1" t="s">
        <v>9</v>
      </c>
      <c r="B207">
        <v>35</v>
      </c>
      <c r="C207" t="str" cm="1">
        <f t="array" ref="C207">_xlfn.IFS(
    Dataset[[#This Row],[Age]]&lt;=10, "0-10",
    AND(Dataset[[#This Row],[Age]]&gt;10, Dataset[[#This Row],[Age]]&lt;=18), "11-18",
    AND(Dataset[[#This Row],[Age]]&gt;18, Dataset[[#This Row],[Age]]&lt;=30), "19-30",
    AND(Dataset[[#This Row],[Age]]&gt;30, Dataset[[#This Row],[Age]]&lt;=60), "31-60",
    Dataset[[#This Row],[Age]]&gt;60, "above 60"
)</f>
        <v>31-60</v>
      </c>
      <c r="D207">
        <v>1</v>
      </c>
      <c r="E207">
        <v>1</v>
      </c>
      <c r="F207">
        <v>0</v>
      </c>
      <c r="G20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07" s="1" t="s">
        <v>34</v>
      </c>
      <c r="I207" s="1" t="s">
        <v>15</v>
      </c>
      <c r="J207" s="1" t="s">
        <v>12</v>
      </c>
      <c r="K207">
        <v>1</v>
      </c>
    </row>
    <row r="208" spans="1:11" x14ac:dyDescent="0.3">
      <c r="A208" s="1" t="s">
        <v>9</v>
      </c>
      <c r="B208">
        <v>48</v>
      </c>
      <c r="C208" t="str" cm="1">
        <f t="array" ref="C208">_xlfn.IFS(
    Dataset[[#This Row],[Age]]&lt;=10, "0-10",
    AND(Dataset[[#This Row],[Age]]&gt;10, Dataset[[#This Row],[Age]]&lt;=18), "11-18",
    AND(Dataset[[#This Row],[Age]]&gt;18, Dataset[[#This Row],[Age]]&lt;=30), "19-30",
    AND(Dataset[[#This Row],[Age]]&gt;30, Dataset[[#This Row],[Age]]&lt;=60), "31-60",
    Dataset[[#This Row],[Age]]&gt;60, "above 60"
)</f>
        <v>31-60</v>
      </c>
      <c r="D208">
        <v>1</v>
      </c>
      <c r="E208">
        <v>1</v>
      </c>
      <c r="F208">
        <v>1</v>
      </c>
      <c r="G20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08" s="1" t="s">
        <v>46</v>
      </c>
      <c r="I208" s="1" t="s">
        <v>11</v>
      </c>
      <c r="J208" s="1" t="s">
        <v>17</v>
      </c>
      <c r="K208">
        <v>1</v>
      </c>
    </row>
    <row r="209" spans="1:11" x14ac:dyDescent="0.3">
      <c r="A209" s="1" t="s">
        <v>13</v>
      </c>
      <c r="B209">
        <v>31</v>
      </c>
      <c r="C209" t="str" cm="1">
        <f t="array" ref="C209">_xlfn.IFS(
    Dataset[[#This Row],[Age]]&lt;=10, "0-10",
    AND(Dataset[[#This Row],[Age]]&gt;10, Dataset[[#This Row],[Age]]&lt;=18), "11-18",
    AND(Dataset[[#This Row],[Age]]&gt;18, Dataset[[#This Row],[Age]]&lt;=30), "19-30",
    AND(Dataset[[#This Row],[Age]]&gt;30, Dataset[[#This Row],[Age]]&lt;=60), "31-60",
    Dataset[[#This Row],[Age]]&gt;60, "above 60"
)</f>
        <v>31-60</v>
      </c>
      <c r="D209">
        <v>1</v>
      </c>
      <c r="E209">
        <v>1</v>
      </c>
      <c r="F209">
        <v>1</v>
      </c>
      <c r="G20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09" s="1" t="s">
        <v>16</v>
      </c>
      <c r="I209" s="1" t="s">
        <v>15</v>
      </c>
      <c r="J209" s="1" t="s">
        <v>17</v>
      </c>
      <c r="K209">
        <v>1</v>
      </c>
    </row>
    <row r="210" spans="1:11" x14ac:dyDescent="0.3">
      <c r="A210" s="1" t="s">
        <v>13</v>
      </c>
      <c r="B210">
        <v>33</v>
      </c>
      <c r="C210" t="str" cm="1">
        <f t="array" ref="C210">_xlfn.IFS(
    Dataset[[#This Row],[Age]]&lt;=10, "0-10",
    AND(Dataset[[#This Row],[Age]]&gt;10, Dataset[[#This Row],[Age]]&lt;=18), "11-18",
    AND(Dataset[[#This Row],[Age]]&gt;18, Dataset[[#This Row],[Age]]&lt;=30), "19-30",
    AND(Dataset[[#This Row],[Age]]&gt;30, Dataset[[#This Row],[Age]]&lt;=60), "31-60",
    Dataset[[#This Row],[Age]]&gt;60, "above 60"
)</f>
        <v>31-60</v>
      </c>
      <c r="D210">
        <v>1</v>
      </c>
      <c r="E210">
        <v>1</v>
      </c>
      <c r="F210">
        <v>0</v>
      </c>
      <c r="G21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10" s="1" t="s">
        <v>39</v>
      </c>
      <c r="I210" s="1" t="s">
        <v>11</v>
      </c>
      <c r="J210" s="1" t="s">
        <v>22</v>
      </c>
      <c r="K210">
        <v>1</v>
      </c>
    </row>
    <row r="211" spans="1:11" x14ac:dyDescent="0.3">
      <c r="A211" s="1" t="s">
        <v>9</v>
      </c>
      <c r="B211">
        <v>39</v>
      </c>
      <c r="C211" t="str" cm="1">
        <f t="array" ref="C211">_xlfn.IFS(
    Dataset[[#This Row],[Age]]&lt;=10, "0-10",
    AND(Dataset[[#This Row],[Age]]&gt;10, Dataset[[#This Row],[Age]]&lt;=18), "11-18",
    AND(Dataset[[#This Row],[Age]]&gt;18, Dataset[[#This Row],[Age]]&lt;=30), "19-30",
    AND(Dataset[[#This Row],[Age]]&gt;30, Dataset[[#This Row],[Age]]&lt;=60), "31-60",
    Dataset[[#This Row],[Age]]&gt;60, "above 60"
)</f>
        <v>31-60</v>
      </c>
      <c r="D211">
        <v>1</v>
      </c>
      <c r="E211">
        <v>1</v>
      </c>
      <c r="F211">
        <v>1</v>
      </c>
      <c r="G21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11" s="1" t="s">
        <v>21</v>
      </c>
      <c r="I211" s="1" t="s">
        <v>15</v>
      </c>
      <c r="J211" s="1" t="s">
        <v>12</v>
      </c>
      <c r="K211">
        <v>1</v>
      </c>
    </row>
    <row r="212" spans="1:11" x14ac:dyDescent="0.3">
      <c r="A212" s="1" t="s">
        <v>13</v>
      </c>
      <c r="B212">
        <v>34</v>
      </c>
      <c r="C212" t="str" cm="1">
        <f t="array" ref="C212">_xlfn.IFS(
    Dataset[[#This Row],[Age]]&lt;=10, "0-10",
    AND(Dataset[[#This Row],[Age]]&gt;10, Dataset[[#This Row],[Age]]&lt;=18), "11-18",
    AND(Dataset[[#This Row],[Age]]&gt;18, Dataset[[#This Row],[Age]]&lt;=30), "19-30",
    AND(Dataset[[#This Row],[Age]]&gt;30, Dataset[[#This Row],[Age]]&lt;=60), "31-60",
    Dataset[[#This Row],[Age]]&gt;60, "above 60"
)</f>
        <v>31-60</v>
      </c>
      <c r="D212">
        <v>0</v>
      </c>
      <c r="E212">
        <v>0</v>
      </c>
      <c r="F212">
        <v>0</v>
      </c>
      <c r="G21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12" s="1" t="s">
        <v>36</v>
      </c>
      <c r="I212" s="1" t="s">
        <v>11</v>
      </c>
      <c r="J212" s="1" t="s">
        <v>17</v>
      </c>
      <c r="K212">
        <v>0</v>
      </c>
    </row>
    <row r="213" spans="1:11" x14ac:dyDescent="0.3">
      <c r="A213" s="1" t="s">
        <v>9</v>
      </c>
      <c r="B213">
        <v>33</v>
      </c>
      <c r="C213" t="str" cm="1">
        <f t="array" ref="C213">_xlfn.IFS(
    Dataset[[#This Row],[Age]]&lt;=10, "0-10",
    AND(Dataset[[#This Row],[Age]]&gt;10, Dataset[[#This Row],[Age]]&lt;=18), "11-18",
    AND(Dataset[[#This Row],[Age]]&gt;18, Dataset[[#This Row],[Age]]&lt;=30), "19-30",
    AND(Dataset[[#This Row],[Age]]&gt;30, Dataset[[#This Row],[Age]]&lt;=60), "31-60",
    Dataset[[#This Row],[Age]]&gt;60, "above 60"
)</f>
        <v>31-60</v>
      </c>
      <c r="D213">
        <v>1</v>
      </c>
      <c r="E213">
        <v>1</v>
      </c>
      <c r="F213">
        <v>1</v>
      </c>
      <c r="G21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13" s="1" t="s">
        <v>48</v>
      </c>
      <c r="I213" s="1" t="s">
        <v>15</v>
      </c>
      <c r="J213" s="1" t="s">
        <v>17</v>
      </c>
      <c r="K213">
        <v>1</v>
      </c>
    </row>
    <row r="214" spans="1:11" x14ac:dyDescent="0.3">
      <c r="A214" s="1" t="s">
        <v>9</v>
      </c>
      <c r="B214">
        <v>18</v>
      </c>
      <c r="C214" t="str" cm="1">
        <f t="array" ref="C214">_xlfn.IFS(
    Dataset[[#This Row],[Age]]&lt;=10, "0-10",
    AND(Dataset[[#This Row],[Age]]&gt;10, Dataset[[#This Row],[Age]]&lt;=18), "11-18",
    AND(Dataset[[#This Row],[Age]]&gt;18, Dataset[[#This Row],[Age]]&lt;=30), "19-30",
    AND(Dataset[[#This Row],[Age]]&gt;30, Dataset[[#This Row],[Age]]&lt;=60), "31-60",
    Dataset[[#This Row],[Age]]&gt;60, "above 60"
)</f>
        <v>11-18</v>
      </c>
      <c r="D214">
        <v>0</v>
      </c>
      <c r="E214">
        <v>1</v>
      </c>
      <c r="F214">
        <v>1</v>
      </c>
      <c r="G21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No Risk</v>
      </c>
      <c r="H214" s="1" t="s">
        <v>48</v>
      </c>
      <c r="I214" s="1" t="s">
        <v>11</v>
      </c>
      <c r="J214" s="1" t="s">
        <v>22</v>
      </c>
      <c r="K214">
        <v>1</v>
      </c>
    </row>
    <row r="215" spans="1:11" x14ac:dyDescent="0.3">
      <c r="A215" s="1" t="s">
        <v>9</v>
      </c>
      <c r="B215">
        <v>43</v>
      </c>
      <c r="C215" t="str" cm="1">
        <f t="array" ref="C215">_xlfn.IFS(
    Dataset[[#This Row],[Age]]&lt;=10, "0-10",
    AND(Dataset[[#This Row],[Age]]&gt;10, Dataset[[#This Row],[Age]]&lt;=18), "11-18",
    AND(Dataset[[#This Row],[Age]]&gt;18, Dataset[[#This Row],[Age]]&lt;=30), "19-30",
    AND(Dataset[[#This Row],[Age]]&gt;30, Dataset[[#This Row],[Age]]&lt;=60), "31-60",
    Dataset[[#This Row],[Age]]&gt;60, "above 60"
)</f>
        <v>31-60</v>
      </c>
      <c r="D215">
        <v>1</v>
      </c>
      <c r="E215">
        <v>1</v>
      </c>
      <c r="F215">
        <v>1</v>
      </c>
      <c r="G21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15" s="1" t="s">
        <v>31</v>
      </c>
      <c r="I215" s="1" t="s">
        <v>15</v>
      </c>
      <c r="J215" s="1" t="s">
        <v>17</v>
      </c>
      <c r="K215">
        <v>1</v>
      </c>
    </row>
    <row r="216" spans="1:11" x14ac:dyDescent="0.3">
      <c r="A216" s="1" t="s">
        <v>13</v>
      </c>
      <c r="B216">
        <v>61</v>
      </c>
      <c r="C216" t="str" cm="1">
        <f t="array" ref="C216">_xlfn.IFS(
    Dataset[[#This Row],[Age]]&lt;=10, "0-10",
    AND(Dataset[[#This Row],[Age]]&gt;10, Dataset[[#This Row],[Age]]&lt;=18), "11-18",
    AND(Dataset[[#This Row],[Age]]&gt;18, Dataset[[#This Row],[Age]]&lt;=30), "19-30",
    AND(Dataset[[#This Row],[Age]]&gt;30, Dataset[[#This Row],[Age]]&lt;=60), "31-60",
    Dataset[[#This Row],[Age]]&gt;60, "above 60"
)</f>
        <v>above 60</v>
      </c>
      <c r="D216">
        <v>0</v>
      </c>
      <c r="E216">
        <v>0</v>
      </c>
      <c r="F216">
        <v>1</v>
      </c>
      <c r="G21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16" s="1" t="s">
        <v>24</v>
      </c>
      <c r="I216" s="1" t="s">
        <v>11</v>
      </c>
      <c r="J216" s="1" t="s">
        <v>12</v>
      </c>
      <c r="K216">
        <v>0</v>
      </c>
    </row>
    <row r="217" spans="1:11" x14ac:dyDescent="0.3">
      <c r="A217" s="1" t="s">
        <v>9</v>
      </c>
      <c r="B217">
        <v>46</v>
      </c>
      <c r="C217" t="str" cm="1">
        <f t="array" ref="C217">_xlfn.IFS(
    Dataset[[#This Row],[Age]]&lt;=10, "0-10",
    AND(Dataset[[#This Row],[Age]]&gt;10, Dataset[[#This Row],[Age]]&lt;=18), "11-18",
    AND(Dataset[[#This Row],[Age]]&gt;18, Dataset[[#This Row],[Age]]&lt;=30), "19-30",
    AND(Dataset[[#This Row],[Age]]&gt;30, Dataset[[#This Row],[Age]]&lt;=60), "31-60",
    Dataset[[#This Row],[Age]]&gt;60, "above 60"
)</f>
        <v>31-60</v>
      </c>
      <c r="D217">
        <v>0</v>
      </c>
      <c r="E217">
        <v>0</v>
      </c>
      <c r="F217">
        <v>0</v>
      </c>
      <c r="G21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17" s="1" t="s">
        <v>19</v>
      </c>
      <c r="I217" s="1" t="s">
        <v>15</v>
      </c>
      <c r="J217" s="1" t="s">
        <v>17</v>
      </c>
      <c r="K217">
        <v>0</v>
      </c>
    </row>
    <row r="218" spans="1:11" x14ac:dyDescent="0.3">
      <c r="A218" s="1" t="s">
        <v>13</v>
      </c>
      <c r="B218">
        <v>59</v>
      </c>
      <c r="C218" t="str" cm="1">
        <f t="array" ref="C218">_xlfn.IFS(
    Dataset[[#This Row],[Age]]&lt;=10, "0-10",
    AND(Dataset[[#This Row],[Age]]&gt;10, Dataset[[#This Row],[Age]]&lt;=18), "11-18",
    AND(Dataset[[#This Row],[Age]]&gt;18, Dataset[[#This Row],[Age]]&lt;=30), "19-30",
    AND(Dataset[[#This Row],[Age]]&gt;30, Dataset[[#This Row],[Age]]&lt;=60), "31-60",
    Dataset[[#This Row],[Age]]&gt;60, "above 60"
)</f>
        <v>31-60</v>
      </c>
      <c r="D218">
        <v>1</v>
      </c>
      <c r="E218">
        <v>1</v>
      </c>
      <c r="F218">
        <v>1</v>
      </c>
      <c r="G21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18" s="1" t="s">
        <v>28</v>
      </c>
      <c r="I218" s="1" t="s">
        <v>11</v>
      </c>
      <c r="J218" s="1" t="s">
        <v>17</v>
      </c>
      <c r="K218">
        <v>1</v>
      </c>
    </row>
    <row r="219" spans="1:11" x14ac:dyDescent="0.3">
      <c r="A219" s="1" t="s">
        <v>9</v>
      </c>
      <c r="B219">
        <v>55</v>
      </c>
      <c r="C219" t="str" cm="1">
        <f t="array" ref="C219">_xlfn.IFS(
    Dataset[[#This Row],[Age]]&lt;=10, "0-10",
    AND(Dataset[[#This Row],[Age]]&gt;10, Dataset[[#This Row],[Age]]&lt;=18), "11-18",
    AND(Dataset[[#This Row],[Age]]&gt;18, Dataset[[#This Row],[Age]]&lt;=30), "19-30",
    AND(Dataset[[#This Row],[Age]]&gt;30, Dataset[[#This Row],[Age]]&lt;=60), "31-60",
    Dataset[[#This Row],[Age]]&gt;60, "above 60"
)</f>
        <v>31-60</v>
      </c>
      <c r="D219">
        <v>1</v>
      </c>
      <c r="E219">
        <v>1</v>
      </c>
      <c r="F219">
        <v>1</v>
      </c>
      <c r="G21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19" s="1" t="s">
        <v>27</v>
      </c>
      <c r="I219" s="1" t="s">
        <v>15</v>
      </c>
      <c r="J219" s="1" t="s">
        <v>12</v>
      </c>
      <c r="K219">
        <v>1</v>
      </c>
    </row>
    <row r="220" spans="1:11" x14ac:dyDescent="0.3">
      <c r="A220" s="1" t="s">
        <v>13</v>
      </c>
      <c r="B220">
        <v>25</v>
      </c>
      <c r="C220" t="str" cm="1">
        <f t="array" ref="C220">_xlfn.IFS(
    Dataset[[#This Row],[Age]]&lt;=10, "0-10",
    AND(Dataset[[#This Row],[Age]]&gt;10, Dataset[[#This Row],[Age]]&lt;=18), "11-18",
    AND(Dataset[[#This Row],[Age]]&gt;18, Dataset[[#This Row],[Age]]&lt;=30), "19-30",
    AND(Dataset[[#This Row],[Age]]&gt;30, Dataset[[#This Row],[Age]]&lt;=60), "31-60",
    Dataset[[#This Row],[Age]]&gt;60, "above 60"
)</f>
        <v>19-30</v>
      </c>
      <c r="D220">
        <v>0</v>
      </c>
      <c r="E220">
        <v>0</v>
      </c>
      <c r="F220">
        <v>1</v>
      </c>
      <c r="G22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20" s="1" t="s">
        <v>10</v>
      </c>
      <c r="I220" s="1" t="s">
        <v>11</v>
      </c>
      <c r="J220" s="1" t="s">
        <v>22</v>
      </c>
      <c r="K220">
        <v>0</v>
      </c>
    </row>
    <row r="221" spans="1:11" x14ac:dyDescent="0.3">
      <c r="A221" s="1" t="s">
        <v>9</v>
      </c>
      <c r="B221">
        <v>53</v>
      </c>
      <c r="C221" t="str" cm="1">
        <f t="array" ref="C221">_xlfn.IFS(
    Dataset[[#This Row],[Age]]&lt;=10, "0-10",
    AND(Dataset[[#This Row],[Age]]&gt;10, Dataset[[#This Row],[Age]]&lt;=18), "11-18",
    AND(Dataset[[#This Row],[Age]]&gt;18, Dataset[[#This Row],[Age]]&lt;=30), "19-30",
    AND(Dataset[[#This Row],[Age]]&gt;30, Dataset[[#This Row],[Age]]&lt;=60), "31-60",
    Dataset[[#This Row],[Age]]&gt;60, "above 60"
)</f>
        <v>31-60</v>
      </c>
      <c r="D221">
        <v>0</v>
      </c>
      <c r="E221">
        <v>0</v>
      </c>
      <c r="F221">
        <v>1</v>
      </c>
      <c r="G22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21" s="1" t="s">
        <v>31</v>
      </c>
      <c r="I221" s="1" t="s">
        <v>15</v>
      </c>
      <c r="J221" s="1" t="s">
        <v>22</v>
      </c>
      <c r="K221">
        <v>0</v>
      </c>
    </row>
    <row r="222" spans="1:11" x14ac:dyDescent="0.3">
      <c r="A222" s="1" t="s">
        <v>9</v>
      </c>
      <c r="B222">
        <v>32</v>
      </c>
      <c r="C222" t="str" cm="1">
        <f t="array" ref="C222">_xlfn.IFS(
    Dataset[[#This Row],[Age]]&lt;=10, "0-10",
    AND(Dataset[[#This Row],[Age]]&gt;10, Dataset[[#This Row],[Age]]&lt;=18), "11-18",
    AND(Dataset[[#This Row],[Age]]&gt;18, Dataset[[#This Row],[Age]]&lt;=30), "19-30",
    AND(Dataset[[#This Row],[Age]]&gt;30, Dataset[[#This Row],[Age]]&lt;=60), "31-60",
    Dataset[[#This Row],[Age]]&gt;60, "above 60"
)</f>
        <v>31-60</v>
      </c>
      <c r="D222">
        <v>1</v>
      </c>
      <c r="E222">
        <v>1</v>
      </c>
      <c r="F222">
        <v>0</v>
      </c>
      <c r="G22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22" s="1" t="s">
        <v>49</v>
      </c>
      <c r="I222" s="1" t="s">
        <v>11</v>
      </c>
      <c r="J222" s="1" t="s">
        <v>12</v>
      </c>
      <c r="K222">
        <v>1</v>
      </c>
    </row>
    <row r="223" spans="1:11" x14ac:dyDescent="0.3">
      <c r="A223" s="1" t="s">
        <v>13</v>
      </c>
      <c r="B223">
        <v>40</v>
      </c>
      <c r="C223" t="str" cm="1">
        <f t="array" ref="C223">_xlfn.IFS(
    Dataset[[#This Row],[Age]]&lt;=10, "0-10",
    AND(Dataset[[#This Row],[Age]]&gt;10, Dataset[[#This Row],[Age]]&lt;=18), "11-18",
    AND(Dataset[[#This Row],[Age]]&gt;18, Dataset[[#This Row],[Age]]&lt;=30), "19-30",
    AND(Dataset[[#This Row],[Age]]&gt;30, Dataset[[#This Row],[Age]]&lt;=60), "31-60",
    Dataset[[#This Row],[Age]]&gt;60, "above 60"
)</f>
        <v>31-60</v>
      </c>
      <c r="D223">
        <v>1</v>
      </c>
      <c r="E223">
        <v>1</v>
      </c>
      <c r="F223">
        <v>1</v>
      </c>
      <c r="G22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23" s="1" t="s">
        <v>42</v>
      </c>
      <c r="I223" s="1" t="s">
        <v>15</v>
      </c>
      <c r="J223" s="1" t="s">
        <v>17</v>
      </c>
      <c r="K223">
        <v>1</v>
      </c>
    </row>
    <row r="224" spans="1:11" x14ac:dyDescent="0.3">
      <c r="A224" s="1" t="s">
        <v>13</v>
      </c>
      <c r="B224">
        <v>57</v>
      </c>
      <c r="C224" t="str" cm="1">
        <f t="array" ref="C224">_xlfn.IFS(
    Dataset[[#This Row],[Age]]&lt;=10, "0-10",
    AND(Dataset[[#This Row],[Age]]&gt;10, Dataset[[#This Row],[Age]]&lt;=18), "11-18",
    AND(Dataset[[#This Row],[Age]]&gt;18, Dataset[[#This Row],[Age]]&lt;=30), "19-30",
    AND(Dataset[[#This Row],[Age]]&gt;30, Dataset[[#This Row],[Age]]&lt;=60), "31-60",
    Dataset[[#This Row],[Age]]&gt;60, "above 60"
)</f>
        <v>31-60</v>
      </c>
      <c r="D224">
        <v>1</v>
      </c>
      <c r="E224">
        <v>1</v>
      </c>
      <c r="F224">
        <v>1</v>
      </c>
      <c r="G22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24" s="1" t="s">
        <v>34</v>
      </c>
      <c r="I224" s="1" t="s">
        <v>11</v>
      </c>
      <c r="J224" s="1" t="s">
        <v>12</v>
      </c>
      <c r="K224">
        <v>1</v>
      </c>
    </row>
    <row r="225" spans="1:11" x14ac:dyDescent="0.3">
      <c r="A225" s="1" t="s">
        <v>13</v>
      </c>
      <c r="B225">
        <v>43</v>
      </c>
      <c r="C225" t="str" cm="1">
        <f t="array" ref="C225">_xlfn.IFS(
    Dataset[[#This Row],[Age]]&lt;=10, "0-10",
    AND(Dataset[[#This Row],[Age]]&gt;10, Dataset[[#This Row],[Age]]&lt;=18), "11-18",
    AND(Dataset[[#This Row],[Age]]&gt;18, Dataset[[#This Row],[Age]]&lt;=30), "19-30",
    AND(Dataset[[#This Row],[Age]]&gt;30, Dataset[[#This Row],[Age]]&lt;=60), "31-60",
    Dataset[[#This Row],[Age]]&gt;60, "above 60"
)</f>
        <v>31-60</v>
      </c>
      <c r="D225">
        <v>0</v>
      </c>
      <c r="E225">
        <v>0</v>
      </c>
      <c r="F225">
        <v>1</v>
      </c>
      <c r="G22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25" s="1" t="s">
        <v>28</v>
      </c>
      <c r="I225" s="1" t="s">
        <v>15</v>
      </c>
      <c r="J225" s="1" t="s">
        <v>17</v>
      </c>
      <c r="K225">
        <v>0</v>
      </c>
    </row>
    <row r="226" spans="1:11" x14ac:dyDescent="0.3">
      <c r="A226" s="1" t="s">
        <v>13</v>
      </c>
      <c r="B226">
        <v>43</v>
      </c>
      <c r="C226" t="str" cm="1">
        <f t="array" ref="C226">_xlfn.IFS(
    Dataset[[#This Row],[Age]]&lt;=10, "0-10",
    AND(Dataset[[#This Row],[Age]]&gt;10, Dataset[[#This Row],[Age]]&lt;=18), "11-18",
    AND(Dataset[[#This Row],[Age]]&gt;18, Dataset[[#This Row],[Age]]&lt;=30), "19-30",
    AND(Dataset[[#This Row],[Age]]&gt;30, Dataset[[#This Row],[Age]]&lt;=60), "31-60",
    Dataset[[#This Row],[Age]]&gt;60, "above 60"
)</f>
        <v>31-60</v>
      </c>
      <c r="D226">
        <v>0</v>
      </c>
      <c r="E226">
        <v>0</v>
      </c>
      <c r="F226">
        <v>1</v>
      </c>
      <c r="G22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26" s="1" t="s">
        <v>39</v>
      </c>
      <c r="I226" s="1" t="s">
        <v>11</v>
      </c>
      <c r="J226" s="1" t="s">
        <v>12</v>
      </c>
      <c r="K226">
        <v>0</v>
      </c>
    </row>
    <row r="227" spans="1:11" x14ac:dyDescent="0.3">
      <c r="A227" s="1" t="s">
        <v>13</v>
      </c>
      <c r="B227">
        <v>57</v>
      </c>
      <c r="C227" t="str" cm="1">
        <f t="array" ref="C227">_xlfn.IFS(
    Dataset[[#This Row],[Age]]&lt;=10, "0-10",
    AND(Dataset[[#This Row],[Age]]&gt;10, Dataset[[#This Row],[Age]]&lt;=18), "11-18",
    AND(Dataset[[#This Row],[Age]]&gt;18, Dataset[[#This Row],[Age]]&lt;=30), "19-30",
    AND(Dataset[[#This Row],[Age]]&gt;30, Dataset[[#This Row],[Age]]&lt;=60), "31-60",
    Dataset[[#This Row],[Age]]&gt;60, "above 60"
)</f>
        <v>31-60</v>
      </c>
      <c r="D227">
        <v>0</v>
      </c>
      <c r="E227">
        <v>0</v>
      </c>
      <c r="F227">
        <v>0</v>
      </c>
      <c r="G22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27" s="1" t="s">
        <v>43</v>
      </c>
      <c r="I227" s="1" t="s">
        <v>15</v>
      </c>
      <c r="J227" s="1" t="s">
        <v>12</v>
      </c>
      <c r="K227">
        <v>0</v>
      </c>
    </row>
    <row r="228" spans="1:11" x14ac:dyDescent="0.3">
      <c r="A228" s="1" t="s">
        <v>9</v>
      </c>
      <c r="B228">
        <v>55</v>
      </c>
      <c r="C228" t="str" cm="1">
        <f t="array" ref="C228">_xlfn.IFS(
    Dataset[[#This Row],[Age]]&lt;=10, "0-10",
    AND(Dataset[[#This Row],[Age]]&gt;10, Dataset[[#This Row],[Age]]&lt;=18), "11-18",
    AND(Dataset[[#This Row],[Age]]&gt;18, Dataset[[#This Row],[Age]]&lt;=30), "19-30",
    AND(Dataset[[#This Row],[Age]]&gt;30, Dataset[[#This Row],[Age]]&lt;=60), "31-60",
    Dataset[[#This Row],[Age]]&gt;60, "above 60"
)</f>
        <v>31-60</v>
      </c>
      <c r="D228">
        <v>1</v>
      </c>
      <c r="E228">
        <v>1</v>
      </c>
      <c r="F228">
        <v>1</v>
      </c>
      <c r="G22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28" s="1" t="s">
        <v>14</v>
      </c>
      <c r="I228" s="1" t="s">
        <v>11</v>
      </c>
      <c r="J228" s="1" t="s">
        <v>17</v>
      </c>
      <c r="K228">
        <v>1</v>
      </c>
    </row>
    <row r="229" spans="1:11" x14ac:dyDescent="0.3">
      <c r="A229" s="1" t="s">
        <v>9</v>
      </c>
      <c r="B229">
        <v>16</v>
      </c>
      <c r="C229" t="str" cm="1">
        <f t="array" ref="C229">_xlfn.IFS(
    Dataset[[#This Row],[Age]]&lt;=10, "0-10",
    AND(Dataset[[#This Row],[Age]]&gt;10, Dataset[[#This Row],[Age]]&lt;=18), "11-18",
    AND(Dataset[[#This Row],[Age]]&gt;18, Dataset[[#This Row],[Age]]&lt;=30), "19-30",
    AND(Dataset[[#This Row],[Age]]&gt;30, Dataset[[#This Row],[Age]]&lt;=60), "31-60",
    Dataset[[#This Row],[Age]]&gt;60, "above 60"
)</f>
        <v>11-18</v>
      </c>
      <c r="D229">
        <v>1</v>
      </c>
      <c r="E229">
        <v>1</v>
      </c>
      <c r="F229">
        <v>0</v>
      </c>
      <c r="G22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29" s="1" t="s">
        <v>51</v>
      </c>
      <c r="I229" s="1" t="s">
        <v>15</v>
      </c>
      <c r="J229" s="1" t="s">
        <v>12</v>
      </c>
      <c r="K229">
        <v>1</v>
      </c>
    </row>
    <row r="230" spans="1:11" x14ac:dyDescent="0.3">
      <c r="A230" s="1" t="s">
        <v>13</v>
      </c>
      <c r="B230">
        <v>25</v>
      </c>
      <c r="C230" t="str" cm="1">
        <f t="array" ref="C230">_xlfn.IFS(
    Dataset[[#This Row],[Age]]&lt;=10, "0-10",
    AND(Dataset[[#This Row],[Age]]&gt;10, Dataset[[#This Row],[Age]]&lt;=18), "11-18",
    AND(Dataset[[#This Row],[Age]]&gt;18, Dataset[[#This Row],[Age]]&lt;=30), "19-30",
    AND(Dataset[[#This Row],[Age]]&gt;30, Dataset[[#This Row],[Age]]&lt;=60), "31-60",
    Dataset[[#This Row],[Age]]&gt;60, "above 60"
)</f>
        <v>19-30</v>
      </c>
      <c r="D230">
        <v>0</v>
      </c>
      <c r="E230">
        <v>0</v>
      </c>
      <c r="F230">
        <v>1</v>
      </c>
      <c r="G23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30" s="1" t="s">
        <v>30</v>
      </c>
      <c r="I230" s="1" t="s">
        <v>11</v>
      </c>
      <c r="J230" s="1" t="s">
        <v>17</v>
      </c>
      <c r="K230">
        <v>0</v>
      </c>
    </row>
    <row r="231" spans="1:11" x14ac:dyDescent="0.3">
      <c r="A231" s="1" t="s">
        <v>9</v>
      </c>
      <c r="B231">
        <v>28</v>
      </c>
      <c r="C231" t="str" cm="1">
        <f t="array" ref="C231">_xlfn.IFS(
    Dataset[[#This Row],[Age]]&lt;=10, "0-10",
    AND(Dataset[[#This Row],[Age]]&gt;10, Dataset[[#This Row],[Age]]&lt;=18), "11-18",
    AND(Dataset[[#This Row],[Age]]&gt;18, Dataset[[#This Row],[Age]]&lt;=30), "19-30",
    AND(Dataset[[#This Row],[Age]]&gt;30, Dataset[[#This Row],[Age]]&lt;=60), "31-60",
    Dataset[[#This Row],[Age]]&gt;60, "above 60"
)</f>
        <v>19-30</v>
      </c>
      <c r="D231">
        <v>1</v>
      </c>
      <c r="E231">
        <v>1</v>
      </c>
      <c r="F231">
        <v>0</v>
      </c>
      <c r="G23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31" s="1" t="s">
        <v>51</v>
      </c>
      <c r="I231" s="1" t="s">
        <v>15</v>
      </c>
      <c r="J231" s="1" t="s">
        <v>17</v>
      </c>
      <c r="K231">
        <v>1</v>
      </c>
    </row>
    <row r="232" spans="1:11" x14ac:dyDescent="0.3">
      <c r="A232" s="1" t="s">
        <v>9</v>
      </c>
      <c r="B232">
        <v>41</v>
      </c>
      <c r="C232" t="str" cm="1">
        <f t="array" ref="C232">_xlfn.IFS(
    Dataset[[#This Row],[Age]]&lt;=10, "0-10",
    AND(Dataset[[#This Row],[Age]]&gt;10, Dataset[[#This Row],[Age]]&lt;=18), "11-18",
    AND(Dataset[[#This Row],[Age]]&gt;18, Dataset[[#This Row],[Age]]&lt;=30), "19-30",
    AND(Dataset[[#This Row],[Age]]&gt;30, Dataset[[#This Row],[Age]]&lt;=60), "31-60",
    Dataset[[#This Row],[Age]]&gt;60, "above 60"
)</f>
        <v>31-60</v>
      </c>
      <c r="D232">
        <v>0</v>
      </c>
      <c r="E232">
        <v>0</v>
      </c>
      <c r="F232">
        <v>0</v>
      </c>
      <c r="G23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32" s="1" t="s">
        <v>50</v>
      </c>
      <c r="I232" s="1" t="s">
        <v>11</v>
      </c>
      <c r="J232" s="1" t="s">
        <v>17</v>
      </c>
      <c r="K232">
        <v>0</v>
      </c>
    </row>
    <row r="233" spans="1:11" x14ac:dyDescent="0.3">
      <c r="A233" s="1" t="s">
        <v>13</v>
      </c>
      <c r="B233">
        <v>52</v>
      </c>
      <c r="C233" t="str" cm="1">
        <f t="array" ref="C233">_xlfn.IFS(
    Dataset[[#This Row],[Age]]&lt;=10, "0-10",
    AND(Dataset[[#This Row],[Age]]&gt;10, Dataset[[#This Row],[Age]]&lt;=18), "11-18",
    AND(Dataset[[#This Row],[Age]]&gt;18, Dataset[[#This Row],[Age]]&lt;=30), "19-30",
    AND(Dataset[[#This Row],[Age]]&gt;30, Dataset[[#This Row],[Age]]&lt;=60), "31-60",
    Dataset[[#This Row],[Age]]&gt;60, "above 60"
)</f>
        <v>31-60</v>
      </c>
      <c r="D233">
        <v>1</v>
      </c>
      <c r="E233">
        <v>1</v>
      </c>
      <c r="F233">
        <v>1</v>
      </c>
      <c r="G23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33" s="1" t="s">
        <v>37</v>
      </c>
      <c r="I233" s="1" t="s">
        <v>15</v>
      </c>
      <c r="J233" s="1" t="s">
        <v>17</v>
      </c>
      <c r="K233">
        <v>1</v>
      </c>
    </row>
    <row r="234" spans="1:11" x14ac:dyDescent="0.3">
      <c r="A234" s="1" t="s">
        <v>13</v>
      </c>
      <c r="B234">
        <v>46</v>
      </c>
      <c r="C234" t="str" cm="1">
        <f t="array" ref="C234">_xlfn.IFS(
    Dataset[[#This Row],[Age]]&lt;=10, "0-10",
    AND(Dataset[[#This Row],[Age]]&gt;10, Dataset[[#This Row],[Age]]&lt;=18), "11-18",
    AND(Dataset[[#This Row],[Age]]&gt;18, Dataset[[#This Row],[Age]]&lt;=30), "19-30",
    AND(Dataset[[#This Row],[Age]]&gt;30, Dataset[[#This Row],[Age]]&lt;=60), "31-60",
    Dataset[[#This Row],[Age]]&gt;60, "above 60"
)</f>
        <v>31-60</v>
      </c>
      <c r="D234">
        <v>1</v>
      </c>
      <c r="E234">
        <v>1</v>
      </c>
      <c r="F234">
        <v>0</v>
      </c>
      <c r="G23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34" s="1" t="s">
        <v>32</v>
      </c>
      <c r="I234" s="1" t="s">
        <v>11</v>
      </c>
      <c r="J234" s="1" t="s">
        <v>22</v>
      </c>
      <c r="K234">
        <v>1</v>
      </c>
    </row>
    <row r="235" spans="1:11" x14ac:dyDescent="0.3">
      <c r="A235" s="1" t="s">
        <v>9</v>
      </c>
      <c r="B235">
        <v>55</v>
      </c>
      <c r="C235" t="str" cm="1">
        <f t="array" ref="C235">_xlfn.IFS(
    Dataset[[#This Row],[Age]]&lt;=10, "0-10",
    AND(Dataset[[#This Row],[Age]]&gt;10, Dataset[[#This Row],[Age]]&lt;=18), "11-18",
    AND(Dataset[[#This Row],[Age]]&gt;18, Dataset[[#This Row],[Age]]&lt;=30), "19-30",
    AND(Dataset[[#This Row],[Age]]&gt;30, Dataset[[#This Row],[Age]]&lt;=60), "31-60",
    Dataset[[#This Row],[Age]]&gt;60, "above 60"
)</f>
        <v>31-60</v>
      </c>
      <c r="D235">
        <v>0</v>
      </c>
      <c r="E235">
        <v>0</v>
      </c>
      <c r="F235">
        <v>1</v>
      </c>
      <c r="G23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35" s="1" t="s">
        <v>35</v>
      </c>
      <c r="I235" s="1" t="s">
        <v>15</v>
      </c>
      <c r="J235" s="1" t="s">
        <v>12</v>
      </c>
      <c r="K235">
        <v>0</v>
      </c>
    </row>
    <row r="236" spans="1:11" x14ac:dyDescent="0.3">
      <c r="A236" s="1" t="s">
        <v>9</v>
      </c>
      <c r="B236">
        <v>53</v>
      </c>
      <c r="C236" t="str" cm="1">
        <f t="array" ref="C236">_xlfn.IFS(
    Dataset[[#This Row],[Age]]&lt;=10, "0-10",
    AND(Dataset[[#This Row],[Age]]&gt;10, Dataset[[#This Row],[Age]]&lt;=18), "11-18",
    AND(Dataset[[#This Row],[Age]]&gt;18, Dataset[[#This Row],[Age]]&lt;=30), "19-30",
    AND(Dataset[[#This Row],[Age]]&gt;30, Dataset[[#This Row],[Age]]&lt;=60), "31-60",
    Dataset[[#This Row],[Age]]&gt;60, "above 60"
)</f>
        <v>31-60</v>
      </c>
      <c r="D236">
        <v>1</v>
      </c>
      <c r="E236">
        <v>1</v>
      </c>
      <c r="F236">
        <v>1</v>
      </c>
      <c r="G23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36" s="1" t="s">
        <v>23</v>
      </c>
      <c r="I236" s="1" t="s">
        <v>11</v>
      </c>
      <c r="J236" s="1" t="s">
        <v>22</v>
      </c>
      <c r="K236">
        <v>1</v>
      </c>
    </row>
    <row r="237" spans="1:11" x14ac:dyDescent="0.3">
      <c r="A237" s="1" t="s">
        <v>9</v>
      </c>
      <c r="B237">
        <v>42</v>
      </c>
      <c r="C237" t="str" cm="1">
        <f t="array" ref="C237">_xlfn.IFS(
    Dataset[[#This Row],[Age]]&lt;=10, "0-10",
    AND(Dataset[[#This Row],[Age]]&gt;10, Dataset[[#This Row],[Age]]&lt;=18), "11-18",
    AND(Dataset[[#This Row],[Age]]&gt;18, Dataset[[#This Row],[Age]]&lt;=30), "19-30",
    AND(Dataset[[#This Row],[Age]]&gt;30, Dataset[[#This Row],[Age]]&lt;=60), "31-60",
    Dataset[[#This Row],[Age]]&gt;60, "above 60"
)</f>
        <v>31-60</v>
      </c>
      <c r="D237">
        <v>1</v>
      </c>
      <c r="E237">
        <v>1</v>
      </c>
      <c r="F237">
        <v>0</v>
      </c>
      <c r="G23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37" s="1" t="s">
        <v>47</v>
      </c>
      <c r="I237" s="1" t="s">
        <v>15</v>
      </c>
      <c r="J237" s="1" t="s">
        <v>17</v>
      </c>
      <c r="K237">
        <v>1</v>
      </c>
    </row>
    <row r="238" spans="1:11" x14ac:dyDescent="0.3">
      <c r="A238" s="1" t="s">
        <v>9</v>
      </c>
      <c r="B238">
        <v>30</v>
      </c>
      <c r="C238" t="str" cm="1">
        <f t="array" ref="C238">_xlfn.IFS(
    Dataset[[#This Row],[Age]]&lt;=10, "0-10",
    AND(Dataset[[#This Row],[Age]]&gt;10, Dataset[[#This Row],[Age]]&lt;=18), "11-18",
    AND(Dataset[[#This Row],[Age]]&gt;18, Dataset[[#This Row],[Age]]&lt;=30), "19-30",
    AND(Dataset[[#This Row],[Age]]&gt;30, Dataset[[#This Row],[Age]]&lt;=60), "31-60",
    Dataset[[#This Row],[Age]]&gt;60, "above 60"
)</f>
        <v>19-30</v>
      </c>
      <c r="D238">
        <v>0</v>
      </c>
      <c r="E238">
        <v>0</v>
      </c>
      <c r="F238">
        <v>0</v>
      </c>
      <c r="G23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38" s="1" t="s">
        <v>48</v>
      </c>
      <c r="I238" s="1" t="s">
        <v>11</v>
      </c>
      <c r="J238" s="1" t="s">
        <v>12</v>
      </c>
      <c r="K238">
        <v>0</v>
      </c>
    </row>
    <row r="239" spans="1:11" x14ac:dyDescent="0.3">
      <c r="A239" s="1" t="s">
        <v>9</v>
      </c>
      <c r="B239">
        <v>18</v>
      </c>
      <c r="C239" t="str" cm="1">
        <f t="array" ref="C239">_xlfn.IFS(
    Dataset[[#This Row],[Age]]&lt;=10, "0-10",
    AND(Dataset[[#This Row],[Age]]&gt;10, Dataset[[#This Row],[Age]]&lt;=18), "11-18",
    AND(Dataset[[#This Row],[Age]]&gt;18, Dataset[[#This Row],[Age]]&lt;=30), "19-30",
    AND(Dataset[[#This Row],[Age]]&gt;30, Dataset[[#This Row],[Age]]&lt;=60), "31-60",
    Dataset[[#This Row],[Age]]&gt;60, "above 60"
)</f>
        <v>11-18</v>
      </c>
      <c r="D239">
        <v>1</v>
      </c>
      <c r="E239">
        <v>1</v>
      </c>
      <c r="F239">
        <v>0</v>
      </c>
      <c r="G23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39" s="1" t="s">
        <v>48</v>
      </c>
      <c r="I239" s="1" t="s">
        <v>15</v>
      </c>
      <c r="J239" s="1" t="s">
        <v>22</v>
      </c>
      <c r="K239">
        <v>1</v>
      </c>
    </row>
    <row r="240" spans="1:11" x14ac:dyDescent="0.3">
      <c r="A240" s="1" t="s">
        <v>9</v>
      </c>
      <c r="B240">
        <v>44</v>
      </c>
      <c r="C240" t="str" cm="1">
        <f t="array" ref="C240">_xlfn.IFS(
    Dataset[[#This Row],[Age]]&lt;=10, "0-10",
    AND(Dataset[[#This Row],[Age]]&gt;10, Dataset[[#This Row],[Age]]&lt;=18), "11-18",
    AND(Dataset[[#This Row],[Age]]&gt;18, Dataset[[#This Row],[Age]]&lt;=30), "19-30",
    AND(Dataset[[#This Row],[Age]]&gt;30, Dataset[[#This Row],[Age]]&lt;=60), "31-60",
    Dataset[[#This Row],[Age]]&gt;60, "above 60"
)</f>
        <v>31-60</v>
      </c>
      <c r="D240">
        <v>0</v>
      </c>
      <c r="E240">
        <v>0</v>
      </c>
      <c r="F240">
        <v>1</v>
      </c>
      <c r="G24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40" s="1" t="s">
        <v>45</v>
      </c>
      <c r="I240" s="1" t="s">
        <v>11</v>
      </c>
      <c r="J240" s="1" t="s">
        <v>12</v>
      </c>
      <c r="K240">
        <v>0</v>
      </c>
    </row>
    <row r="241" spans="1:11" x14ac:dyDescent="0.3">
      <c r="A241" s="1" t="s">
        <v>9</v>
      </c>
      <c r="B241">
        <v>21</v>
      </c>
      <c r="C241" t="str" cm="1">
        <f t="array" ref="C241">_xlfn.IFS(
    Dataset[[#This Row],[Age]]&lt;=10, "0-10",
    AND(Dataset[[#This Row],[Age]]&gt;10, Dataset[[#This Row],[Age]]&lt;=18), "11-18",
    AND(Dataset[[#This Row],[Age]]&gt;18, Dataset[[#This Row],[Age]]&lt;=30), "19-30",
    AND(Dataset[[#This Row],[Age]]&gt;30, Dataset[[#This Row],[Age]]&lt;=60), "31-60",
    Dataset[[#This Row],[Age]]&gt;60, "above 60"
)</f>
        <v>19-30</v>
      </c>
      <c r="D241">
        <v>1</v>
      </c>
      <c r="E241">
        <v>1</v>
      </c>
      <c r="F241">
        <v>1</v>
      </c>
      <c r="G24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41" s="1" t="s">
        <v>49</v>
      </c>
      <c r="I241" s="1" t="s">
        <v>15</v>
      </c>
      <c r="J241" s="1" t="s">
        <v>22</v>
      </c>
      <c r="K241">
        <v>1</v>
      </c>
    </row>
    <row r="242" spans="1:11" x14ac:dyDescent="0.3">
      <c r="A242" s="1" t="s">
        <v>13</v>
      </c>
      <c r="B242">
        <v>56</v>
      </c>
      <c r="C242" t="str" cm="1">
        <f t="array" ref="C242">_xlfn.IFS(
    Dataset[[#This Row],[Age]]&lt;=10, "0-10",
    AND(Dataset[[#This Row],[Age]]&gt;10, Dataset[[#This Row],[Age]]&lt;=18), "11-18",
    AND(Dataset[[#This Row],[Age]]&gt;18, Dataset[[#This Row],[Age]]&lt;=30), "19-30",
    AND(Dataset[[#This Row],[Age]]&gt;30, Dataset[[#This Row],[Age]]&lt;=60), "31-60",
    Dataset[[#This Row],[Age]]&gt;60, "above 60"
)</f>
        <v>31-60</v>
      </c>
      <c r="D242">
        <v>0</v>
      </c>
      <c r="E242">
        <v>0</v>
      </c>
      <c r="F242">
        <v>0</v>
      </c>
      <c r="G24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42" s="1" t="s">
        <v>26</v>
      </c>
      <c r="I242" s="1" t="s">
        <v>11</v>
      </c>
      <c r="J242" s="1" t="s">
        <v>12</v>
      </c>
      <c r="K242">
        <v>0</v>
      </c>
    </row>
    <row r="243" spans="1:11" x14ac:dyDescent="0.3">
      <c r="A243" s="1" t="s">
        <v>13</v>
      </c>
      <c r="B243">
        <v>50</v>
      </c>
      <c r="C243" t="str" cm="1">
        <f t="array" ref="C243">_xlfn.IFS(
    Dataset[[#This Row],[Age]]&lt;=10, "0-10",
    AND(Dataset[[#This Row],[Age]]&gt;10, Dataset[[#This Row],[Age]]&lt;=18), "11-18",
    AND(Dataset[[#This Row],[Age]]&gt;18, Dataset[[#This Row],[Age]]&lt;=30), "19-30",
    AND(Dataset[[#This Row],[Age]]&gt;30, Dataset[[#This Row],[Age]]&lt;=60), "31-60",
    Dataset[[#This Row],[Age]]&gt;60, "above 60"
)</f>
        <v>31-60</v>
      </c>
      <c r="D243">
        <v>1</v>
      </c>
      <c r="E243">
        <v>1</v>
      </c>
      <c r="F243">
        <v>0</v>
      </c>
      <c r="G24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43" s="1" t="s">
        <v>46</v>
      </c>
      <c r="I243" s="1" t="s">
        <v>15</v>
      </c>
      <c r="J243" s="1" t="s">
        <v>12</v>
      </c>
      <c r="K243">
        <v>1</v>
      </c>
    </row>
    <row r="244" spans="1:11" x14ac:dyDescent="0.3">
      <c r="A244" s="1" t="s">
        <v>9</v>
      </c>
      <c r="B244">
        <v>12</v>
      </c>
      <c r="C244" t="str" cm="1">
        <f t="array" ref="C244">_xlfn.IFS(
    Dataset[[#This Row],[Age]]&lt;=10, "0-10",
    AND(Dataset[[#This Row],[Age]]&gt;10, Dataset[[#This Row],[Age]]&lt;=18), "11-18",
    AND(Dataset[[#This Row],[Age]]&gt;18, Dataset[[#This Row],[Age]]&lt;=30), "19-30",
    AND(Dataset[[#This Row],[Age]]&gt;30, Dataset[[#This Row],[Age]]&lt;=60), "31-60",
    Dataset[[#This Row],[Age]]&gt;60, "above 60"
)</f>
        <v>11-18</v>
      </c>
      <c r="D244">
        <v>1</v>
      </c>
      <c r="E244">
        <v>1</v>
      </c>
      <c r="F244">
        <v>0</v>
      </c>
      <c r="G24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44" s="1" t="s">
        <v>36</v>
      </c>
      <c r="I244" s="1" t="s">
        <v>11</v>
      </c>
      <c r="J244" s="1" t="s">
        <v>22</v>
      </c>
      <c r="K244">
        <v>1</v>
      </c>
    </row>
    <row r="245" spans="1:11" x14ac:dyDescent="0.3">
      <c r="A245" s="1" t="s">
        <v>13</v>
      </c>
      <c r="B245">
        <v>43</v>
      </c>
      <c r="C245" t="str" cm="1">
        <f t="array" ref="C245">_xlfn.IFS(
    Dataset[[#This Row],[Age]]&lt;=10, "0-10",
    AND(Dataset[[#This Row],[Age]]&gt;10, Dataset[[#This Row],[Age]]&lt;=18), "11-18",
    AND(Dataset[[#This Row],[Age]]&gt;18, Dataset[[#This Row],[Age]]&lt;=30), "19-30",
    AND(Dataset[[#This Row],[Age]]&gt;30, Dataset[[#This Row],[Age]]&lt;=60), "31-60",
    Dataset[[#This Row],[Age]]&gt;60, "above 60"
)</f>
        <v>31-60</v>
      </c>
      <c r="D245">
        <v>0</v>
      </c>
      <c r="E245">
        <v>0</v>
      </c>
      <c r="F245">
        <v>0</v>
      </c>
      <c r="G24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45" s="1" t="s">
        <v>20</v>
      </c>
      <c r="I245" s="1" t="s">
        <v>15</v>
      </c>
      <c r="J245" s="1" t="s">
        <v>17</v>
      </c>
      <c r="K245">
        <v>0</v>
      </c>
    </row>
    <row r="246" spans="1:11" x14ac:dyDescent="0.3">
      <c r="A246" s="1" t="s">
        <v>9</v>
      </c>
      <c r="B246">
        <v>42</v>
      </c>
      <c r="C246" t="str" cm="1">
        <f t="array" ref="C246">_xlfn.IFS(
    Dataset[[#This Row],[Age]]&lt;=10, "0-10",
    AND(Dataset[[#This Row],[Age]]&gt;10, Dataset[[#This Row],[Age]]&lt;=18), "11-18",
    AND(Dataset[[#This Row],[Age]]&gt;18, Dataset[[#This Row],[Age]]&lt;=30), "19-30",
    AND(Dataset[[#This Row],[Age]]&gt;30, Dataset[[#This Row],[Age]]&lt;=60), "31-60",
    Dataset[[#This Row],[Age]]&gt;60, "above 60"
)</f>
        <v>31-60</v>
      </c>
      <c r="D246">
        <v>1</v>
      </c>
      <c r="E246">
        <v>1</v>
      </c>
      <c r="F246">
        <v>0</v>
      </c>
      <c r="G24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46" s="1" t="s">
        <v>26</v>
      </c>
      <c r="I246" s="1" t="s">
        <v>11</v>
      </c>
      <c r="J246" s="1" t="s">
        <v>12</v>
      </c>
      <c r="K246">
        <v>1</v>
      </c>
    </row>
    <row r="247" spans="1:11" x14ac:dyDescent="0.3">
      <c r="A247" s="1" t="s">
        <v>9</v>
      </c>
      <c r="B247">
        <v>38</v>
      </c>
      <c r="C247" t="str" cm="1">
        <f t="array" ref="C247">_xlfn.IFS(
    Dataset[[#This Row],[Age]]&lt;=10, "0-10",
    AND(Dataset[[#This Row],[Age]]&gt;10, Dataset[[#This Row],[Age]]&lt;=18), "11-18",
    AND(Dataset[[#This Row],[Age]]&gt;18, Dataset[[#This Row],[Age]]&lt;=30), "19-30",
    AND(Dataset[[#This Row],[Age]]&gt;30, Dataset[[#This Row],[Age]]&lt;=60), "31-60",
    Dataset[[#This Row],[Age]]&gt;60, "above 60"
)</f>
        <v>31-60</v>
      </c>
      <c r="D247">
        <v>0</v>
      </c>
      <c r="E247">
        <v>1</v>
      </c>
      <c r="F247">
        <v>0</v>
      </c>
      <c r="G24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Low Risk</v>
      </c>
      <c r="H247" s="1" t="s">
        <v>31</v>
      </c>
      <c r="I247" s="1" t="s">
        <v>15</v>
      </c>
      <c r="J247" s="1" t="s">
        <v>17</v>
      </c>
      <c r="K247">
        <v>1</v>
      </c>
    </row>
    <row r="248" spans="1:11" x14ac:dyDescent="0.3">
      <c r="A248" s="1" t="s">
        <v>13</v>
      </c>
      <c r="B248">
        <v>62</v>
      </c>
      <c r="C248" t="str" cm="1">
        <f t="array" ref="C248">_xlfn.IFS(
    Dataset[[#This Row],[Age]]&lt;=10, "0-10",
    AND(Dataset[[#This Row],[Age]]&gt;10, Dataset[[#This Row],[Age]]&lt;=18), "11-18",
    AND(Dataset[[#This Row],[Age]]&gt;18, Dataset[[#This Row],[Age]]&lt;=30), "19-30",
    AND(Dataset[[#This Row],[Age]]&gt;30, Dataset[[#This Row],[Age]]&lt;=60), "31-60",
    Dataset[[#This Row],[Age]]&gt;60, "above 60"
)</f>
        <v>above 60</v>
      </c>
      <c r="D248">
        <v>1</v>
      </c>
      <c r="E248">
        <v>1</v>
      </c>
      <c r="F248">
        <v>0</v>
      </c>
      <c r="G24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48" s="1" t="s">
        <v>42</v>
      </c>
      <c r="I248" s="1" t="s">
        <v>11</v>
      </c>
      <c r="J248" s="1" t="s">
        <v>22</v>
      </c>
      <c r="K248">
        <v>1</v>
      </c>
    </row>
    <row r="249" spans="1:11" x14ac:dyDescent="0.3">
      <c r="A249" s="1" t="s">
        <v>9</v>
      </c>
      <c r="B249">
        <v>32</v>
      </c>
      <c r="C249" t="str" cm="1">
        <f t="array" ref="C249">_xlfn.IFS(
    Dataset[[#This Row],[Age]]&lt;=10, "0-10",
    AND(Dataset[[#This Row],[Age]]&gt;10, Dataset[[#This Row],[Age]]&lt;=18), "11-18",
    AND(Dataset[[#This Row],[Age]]&gt;18, Dataset[[#This Row],[Age]]&lt;=30), "19-30",
    AND(Dataset[[#This Row],[Age]]&gt;30, Dataset[[#This Row],[Age]]&lt;=60), "31-60",
    Dataset[[#This Row],[Age]]&gt;60, "above 60"
)</f>
        <v>31-60</v>
      </c>
      <c r="D249">
        <v>0</v>
      </c>
      <c r="E249">
        <v>0</v>
      </c>
      <c r="F249">
        <v>0</v>
      </c>
      <c r="G24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49" s="1" t="s">
        <v>47</v>
      </c>
      <c r="I249" s="1" t="s">
        <v>15</v>
      </c>
      <c r="J249" s="1" t="s">
        <v>22</v>
      </c>
      <c r="K249">
        <v>0</v>
      </c>
    </row>
    <row r="250" spans="1:11" x14ac:dyDescent="0.3">
      <c r="A250" s="1" t="s">
        <v>13</v>
      </c>
      <c r="B250">
        <v>19</v>
      </c>
      <c r="C250" t="str" cm="1">
        <f t="array" ref="C250">_xlfn.IFS(
    Dataset[[#This Row],[Age]]&lt;=10, "0-10",
    AND(Dataset[[#This Row],[Age]]&gt;10, Dataset[[#This Row],[Age]]&lt;=18), "11-18",
    AND(Dataset[[#This Row],[Age]]&gt;18, Dataset[[#This Row],[Age]]&lt;=30), "19-30",
    AND(Dataset[[#This Row],[Age]]&gt;30, Dataset[[#This Row],[Age]]&lt;=60), "31-60",
    Dataset[[#This Row],[Age]]&gt;60, "above 60"
)</f>
        <v>19-30</v>
      </c>
      <c r="D250">
        <v>1</v>
      </c>
      <c r="E250">
        <v>1</v>
      </c>
      <c r="F250">
        <v>0</v>
      </c>
      <c r="G25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50" s="1" t="s">
        <v>48</v>
      </c>
      <c r="I250" s="1" t="s">
        <v>11</v>
      </c>
      <c r="J250" s="1" t="s">
        <v>12</v>
      </c>
      <c r="K250">
        <v>1</v>
      </c>
    </row>
    <row r="251" spans="1:11" x14ac:dyDescent="0.3">
      <c r="A251" s="1" t="s">
        <v>9</v>
      </c>
      <c r="B251">
        <v>19</v>
      </c>
      <c r="C251" t="str" cm="1">
        <f t="array" ref="C251">_xlfn.IFS(
    Dataset[[#This Row],[Age]]&lt;=10, "0-10",
    AND(Dataset[[#This Row],[Age]]&gt;10, Dataset[[#This Row],[Age]]&lt;=18), "11-18",
    AND(Dataset[[#This Row],[Age]]&gt;18, Dataset[[#This Row],[Age]]&lt;=30), "19-30",
    AND(Dataset[[#This Row],[Age]]&gt;30, Dataset[[#This Row],[Age]]&lt;=60), "31-60",
    Dataset[[#This Row],[Age]]&gt;60, "above 60"
)</f>
        <v>19-30</v>
      </c>
      <c r="D251">
        <v>1</v>
      </c>
      <c r="E251">
        <v>1</v>
      </c>
      <c r="F251">
        <v>1</v>
      </c>
      <c r="G25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51" s="1" t="s">
        <v>24</v>
      </c>
      <c r="I251" s="1" t="s">
        <v>15</v>
      </c>
      <c r="J251" s="1" t="s">
        <v>17</v>
      </c>
      <c r="K251">
        <v>1</v>
      </c>
    </row>
    <row r="252" spans="1:11" x14ac:dyDescent="0.3">
      <c r="A252" s="1" t="s">
        <v>13</v>
      </c>
      <c r="B252">
        <v>40</v>
      </c>
      <c r="C252" t="str" cm="1">
        <f t="array" ref="C252">_xlfn.IFS(
    Dataset[[#This Row],[Age]]&lt;=10, "0-10",
    AND(Dataset[[#This Row],[Age]]&gt;10, Dataset[[#This Row],[Age]]&lt;=18), "11-18",
    AND(Dataset[[#This Row],[Age]]&gt;18, Dataset[[#This Row],[Age]]&lt;=30), "19-30",
    AND(Dataset[[#This Row],[Age]]&gt;30, Dataset[[#This Row],[Age]]&lt;=60), "31-60",
    Dataset[[#This Row],[Age]]&gt;60, "above 60"
)</f>
        <v>31-60</v>
      </c>
      <c r="D252">
        <v>1</v>
      </c>
      <c r="E252">
        <v>1</v>
      </c>
      <c r="F252">
        <v>1</v>
      </c>
      <c r="G25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52" s="1" t="s">
        <v>38</v>
      </c>
      <c r="I252" s="1" t="s">
        <v>11</v>
      </c>
      <c r="J252" s="1" t="s">
        <v>17</v>
      </c>
      <c r="K252">
        <v>1</v>
      </c>
    </row>
    <row r="253" spans="1:11" x14ac:dyDescent="0.3">
      <c r="A253" s="1" t="s">
        <v>9</v>
      </c>
      <c r="B253">
        <v>10</v>
      </c>
      <c r="C253" t="str" cm="1">
        <f t="array" ref="C253">_xlfn.IFS(
    Dataset[[#This Row],[Age]]&lt;=10, "0-10",
    AND(Dataset[[#This Row],[Age]]&gt;10, Dataset[[#This Row],[Age]]&lt;=18), "11-18",
    AND(Dataset[[#This Row],[Age]]&gt;18, Dataset[[#This Row],[Age]]&lt;=30), "19-30",
    AND(Dataset[[#This Row],[Age]]&gt;30, Dataset[[#This Row],[Age]]&lt;=60), "31-60",
    Dataset[[#This Row],[Age]]&gt;60, "above 60"
)</f>
        <v>0-10</v>
      </c>
      <c r="D253">
        <v>0</v>
      </c>
      <c r="E253">
        <v>0</v>
      </c>
      <c r="F253">
        <v>1</v>
      </c>
      <c r="G25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53" s="1" t="s">
        <v>26</v>
      </c>
      <c r="I253" s="1" t="s">
        <v>15</v>
      </c>
      <c r="J253" s="1" t="s">
        <v>22</v>
      </c>
      <c r="K253">
        <v>0</v>
      </c>
    </row>
    <row r="254" spans="1:11" x14ac:dyDescent="0.3">
      <c r="A254" s="1" t="s">
        <v>9</v>
      </c>
      <c r="B254">
        <v>20</v>
      </c>
      <c r="C254" t="str" cm="1">
        <f t="array" ref="C254">_xlfn.IFS(
    Dataset[[#This Row],[Age]]&lt;=10, "0-10",
    AND(Dataset[[#This Row],[Age]]&gt;10, Dataset[[#This Row],[Age]]&lt;=18), "11-18",
    AND(Dataset[[#This Row],[Age]]&gt;18, Dataset[[#This Row],[Age]]&lt;=30), "19-30",
    AND(Dataset[[#This Row],[Age]]&gt;30, Dataset[[#This Row],[Age]]&lt;=60), "31-60",
    Dataset[[#This Row],[Age]]&gt;60, "above 60"
)</f>
        <v>19-30</v>
      </c>
      <c r="D254">
        <v>0</v>
      </c>
      <c r="E254">
        <v>0</v>
      </c>
      <c r="F254">
        <v>0</v>
      </c>
      <c r="G25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54" s="1" t="s">
        <v>21</v>
      </c>
      <c r="I254" s="1" t="s">
        <v>11</v>
      </c>
      <c r="J254" s="1" t="s">
        <v>22</v>
      </c>
      <c r="K254">
        <v>0</v>
      </c>
    </row>
    <row r="255" spans="1:11" x14ac:dyDescent="0.3">
      <c r="A255" s="1" t="s">
        <v>13</v>
      </c>
      <c r="B255">
        <v>26</v>
      </c>
      <c r="C255" t="str" cm="1">
        <f t="array" ref="C255">_xlfn.IFS(
    Dataset[[#This Row],[Age]]&lt;=10, "0-10",
    AND(Dataset[[#This Row],[Age]]&gt;10, Dataset[[#This Row],[Age]]&lt;=18), "11-18",
    AND(Dataset[[#This Row],[Age]]&gt;18, Dataset[[#This Row],[Age]]&lt;=30), "19-30",
    AND(Dataset[[#This Row],[Age]]&gt;30, Dataset[[#This Row],[Age]]&lt;=60), "31-60",
    Dataset[[#This Row],[Age]]&gt;60, "above 60"
)</f>
        <v>19-30</v>
      </c>
      <c r="D255">
        <v>0</v>
      </c>
      <c r="E255">
        <v>0</v>
      </c>
      <c r="F255">
        <v>0</v>
      </c>
      <c r="G25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55" s="1" t="s">
        <v>23</v>
      </c>
      <c r="I255" s="1" t="s">
        <v>15</v>
      </c>
      <c r="J255" s="1" t="s">
        <v>17</v>
      </c>
      <c r="K255">
        <v>0</v>
      </c>
    </row>
    <row r="256" spans="1:11" x14ac:dyDescent="0.3">
      <c r="A256" s="1" t="s">
        <v>13</v>
      </c>
      <c r="B256">
        <v>29</v>
      </c>
      <c r="C256" t="str" cm="1">
        <f t="array" ref="C256">_xlfn.IFS(
    Dataset[[#This Row],[Age]]&lt;=10, "0-10",
    AND(Dataset[[#This Row],[Age]]&gt;10, Dataset[[#This Row],[Age]]&lt;=18), "11-18",
    AND(Dataset[[#This Row],[Age]]&gt;18, Dataset[[#This Row],[Age]]&lt;=30), "19-30",
    AND(Dataset[[#This Row],[Age]]&gt;30, Dataset[[#This Row],[Age]]&lt;=60), "31-60",
    Dataset[[#This Row],[Age]]&gt;60, "above 60"
)</f>
        <v>19-30</v>
      </c>
      <c r="D256">
        <v>0</v>
      </c>
      <c r="E256">
        <v>0</v>
      </c>
      <c r="F256">
        <v>0</v>
      </c>
      <c r="G25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56" s="1" t="s">
        <v>39</v>
      </c>
      <c r="I256" s="1" t="s">
        <v>11</v>
      </c>
      <c r="J256" s="1" t="s">
        <v>22</v>
      </c>
      <c r="K256">
        <v>0</v>
      </c>
    </row>
    <row r="257" spans="1:11" x14ac:dyDescent="0.3">
      <c r="A257" s="1" t="s">
        <v>13</v>
      </c>
      <c r="B257">
        <v>39</v>
      </c>
      <c r="C257" t="str" cm="1">
        <f t="array" ref="C257">_xlfn.IFS(
    Dataset[[#This Row],[Age]]&lt;=10, "0-10",
    AND(Dataset[[#This Row],[Age]]&gt;10, Dataset[[#This Row],[Age]]&lt;=18), "11-18",
    AND(Dataset[[#This Row],[Age]]&gt;18, Dataset[[#This Row],[Age]]&lt;=30), "19-30",
    AND(Dataset[[#This Row],[Age]]&gt;30, Dataset[[#This Row],[Age]]&lt;=60), "31-60",
    Dataset[[#This Row],[Age]]&gt;60, "above 60"
)</f>
        <v>31-60</v>
      </c>
      <c r="D257">
        <v>1</v>
      </c>
      <c r="E257">
        <v>1</v>
      </c>
      <c r="F257">
        <v>1</v>
      </c>
      <c r="G25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57" s="1" t="s">
        <v>27</v>
      </c>
      <c r="I257" s="1" t="s">
        <v>15</v>
      </c>
      <c r="J257" s="1" t="s">
        <v>17</v>
      </c>
      <c r="K257">
        <v>1</v>
      </c>
    </row>
    <row r="258" spans="1:11" x14ac:dyDescent="0.3">
      <c r="A258" s="1" t="s">
        <v>9</v>
      </c>
      <c r="B258">
        <v>65</v>
      </c>
      <c r="C258" t="str" cm="1">
        <f t="array" ref="C258">_xlfn.IFS(
    Dataset[[#This Row],[Age]]&lt;=10, "0-10",
    AND(Dataset[[#This Row],[Age]]&gt;10, Dataset[[#This Row],[Age]]&lt;=18), "11-18",
    AND(Dataset[[#This Row],[Age]]&gt;18, Dataset[[#This Row],[Age]]&lt;=30), "19-30",
    AND(Dataset[[#This Row],[Age]]&gt;30, Dataset[[#This Row],[Age]]&lt;=60), "31-60",
    Dataset[[#This Row],[Age]]&gt;60, "above 60"
)</f>
        <v>above 60</v>
      </c>
      <c r="D258">
        <v>1</v>
      </c>
      <c r="E258">
        <v>1</v>
      </c>
      <c r="F258">
        <v>1</v>
      </c>
      <c r="G25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58" s="1" t="s">
        <v>40</v>
      </c>
      <c r="I258" s="1" t="s">
        <v>11</v>
      </c>
      <c r="J258" s="1" t="s">
        <v>17</v>
      </c>
      <c r="K258">
        <v>1</v>
      </c>
    </row>
    <row r="259" spans="1:11" x14ac:dyDescent="0.3">
      <c r="A259" s="1" t="s">
        <v>9</v>
      </c>
      <c r="B259">
        <v>38</v>
      </c>
      <c r="C259" t="str" cm="1">
        <f t="array" ref="C259">_xlfn.IFS(
    Dataset[[#This Row],[Age]]&lt;=10, "0-10",
    AND(Dataset[[#This Row],[Age]]&gt;10, Dataset[[#This Row],[Age]]&lt;=18), "11-18",
    AND(Dataset[[#This Row],[Age]]&gt;18, Dataset[[#This Row],[Age]]&lt;=30), "19-30",
    AND(Dataset[[#This Row],[Age]]&gt;30, Dataset[[#This Row],[Age]]&lt;=60), "31-60",
    Dataset[[#This Row],[Age]]&gt;60, "above 60"
)</f>
        <v>31-60</v>
      </c>
      <c r="D259">
        <v>0</v>
      </c>
      <c r="E259">
        <v>0</v>
      </c>
      <c r="F259">
        <v>1</v>
      </c>
      <c r="G25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59" s="1" t="s">
        <v>47</v>
      </c>
      <c r="I259" s="1" t="s">
        <v>15</v>
      </c>
      <c r="J259" s="1" t="s">
        <v>17</v>
      </c>
      <c r="K259">
        <v>0</v>
      </c>
    </row>
    <row r="260" spans="1:11" x14ac:dyDescent="0.3">
      <c r="A260" s="1" t="s">
        <v>13</v>
      </c>
      <c r="B260">
        <v>14</v>
      </c>
      <c r="C260" t="str" cm="1">
        <f t="array" ref="C260">_xlfn.IFS(
    Dataset[[#This Row],[Age]]&lt;=10, "0-10",
    AND(Dataset[[#This Row],[Age]]&gt;10, Dataset[[#This Row],[Age]]&lt;=18), "11-18",
    AND(Dataset[[#This Row],[Age]]&gt;18, Dataset[[#This Row],[Age]]&lt;=30), "19-30",
    AND(Dataset[[#This Row],[Age]]&gt;30, Dataset[[#This Row],[Age]]&lt;=60), "31-60",
    Dataset[[#This Row],[Age]]&gt;60, "above 60"
)</f>
        <v>11-18</v>
      </c>
      <c r="D260">
        <v>0</v>
      </c>
      <c r="E260">
        <v>0</v>
      </c>
      <c r="F260">
        <v>0</v>
      </c>
      <c r="G26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60" s="1" t="s">
        <v>47</v>
      </c>
      <c r="I260" s="1" t="s">
        <v>11</v>
      </c>
      <c r="J260" s="1" t="s">
        <v>22</v>
      </c>
      <c r="K260">
        <v>0</v>
      </c>
    </row>
    <row r="261" spans="1:11" x14ac:dyDescent="0.3">
      <c r="A261" s="1" t="s">
        <v>9</v>
      </c>
      <c r="B261">
        <v>62</v>
      </c>
      <c r="C261" t="str" cm="1">
        <f t="array" ref="C261">_xlfn.IFS(
    Dataset[[#This Row],[Age]]&lt;=10, "0-10",
    AND(Dataset[[#This Row],[Age]]&gt;10, Dataset[[#This Row],[Age]]&lt;=18), "11-18",
    AND(Dataset[[#This Row],[Age]]&gt;18, Dataset[[#This Row],[Age]]&lt;=30), "19-30",
    AND(Dataset[[#This Row],[Age]]&gt;30, Dataset[[#This Row],[Age]]&lt;=60), "31-60",
    Dataset[[#This Row],[Age]]&gt;60, "above 60"
)</f>
        <v>above 60</v>
      </c>
      <c r="D261">
        <v>0</v>
      </c>
      <c r="E261">
        <v>0</v>
      </c>
      <c r="F261">
        <v>0</v>
      </c>
      <c r="G26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61" s="1" t="s">
        <v>24</v>
      </c>
      <c r="I261" s="1" t="s">
        <v>15</v>
      </c>
      <c r="J261" s="1" t="s">
        <v>22</v>
      </c>
      <c r="K261">
        <v>0</v>
      </c>
    </row>
    <row r="262" spans="1:11" x14ac:dyDescent="0.3">
      <c r="A262" s="1" t="s">
        <v>9</v>
      </c>
      <c r="B262">
        <v>37</v>
      </c>
      <c r="C262" t="str" cm="1">
        <f t="array" ref="C262">_xlfn.IFS(
    Dataset[[#This Row],[Age]]&lt;=10, "0-10",
    AND(Dataset[[#This Row],[Age]]&gt;10, Dataset[[#This Row],[Age]]&lt;=18), "11-18",
    AND(Dataset[[#This Row],[Age]]&gt;18, Dataset[[#This Row],[Age]]&lt;=30), "19-30",
    AND(Dataset[[#This Row],[Age]]&gt;30, Dataset[[#This Row],[Age]]&lt;=60), "31-60",
    Dataset[[#This Row],[Age]]&gt;60, "above 60"
)</f>
        <v>31-60</v>
      </c>
      <c r="D262">
        <v>0</v>
      </c>
      <c r="E262">
        <v>0</v>
      </c>
      <c r="F262">
        <v>1</v>
      </c>
      <c r="G26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62" s="1" t="s">
        <v>38</v>
      </c>
      <c r="I262" s="1" t="s">
        <v>11</v>
      </c>
      <c r="J262" s="1" t="s">
        <v>17</v>
      </c>
      <c r="K262">
        <v>0</v>
      </c>
    </row>
    <row r="263" spans="1:11" x14ac:dyDescent="0.3">
      <c r="A263" s="1" t="s">
        <v>9</v>
      </c>
      <c r="B263">
        <v>25</v>
      </c>
      <c r="C263" t="str" cm="1">
        <f t="array" ref="C263">_xlfn.IFS(
    Dataset[[#This Row],[Age]]&lt;=10, "0-10",
    AND(Dataset[[#This Row],[Age]]&gt;10, Dataset[[#This Row],[Age]]&lt;=18), "11-18",
    AND(Dataset[[#This Row],[Age]]&gt;18, Dataset[[#This Row],[Age]]&lt;=30), "19-30",
    AND(Dataset[[#This Row],[Age]]&gt;30, Dataset[[#This Row],[Age]]&lt;=60), "31-60",
    Dataset[[#This Row],[Age]]&gt;60, "above 60"
)</f>
        <v>19-30</v>
      </c>
      <c r="D263">
        <v>1</v>
      </c>
      <c r="E263">
        <v>1</v>
      </c>
      <c r="F263">
        <v>1</v>
      </c>
      <c r="G26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63" s="1" t="s">
        <v>43</v>
      </c>
      <c r="I263" s="1" t="s">
        <v>15</v>
      </c>
      <c r="J263" s="1" t="s">
        <v>22</v>
      </c>
      <c r="K263">
        <v>1</v>
      </c>
    </row>
    <row r="264" spans="1:11" x14ac:dyDescent="0.3">
      <c r="A264" s="1" t="s">
        <v>9</v>
      </c>
      <c r="B264">
        <v>64</v>
      </c>
      <c r="C264" t="str" cm="1">
        <f t="array" ref="C264">_xlfn.IFS(
    Dataset[[#This Row],[Age]]&lt;=10, "0-10",
    AND(Dataset[[#This Row],[Age]]&gt;10, Dataset[[#This Row],[Age]]&lt;=18), "11-18",
    AND(Dataset[[#This Row],[Age]]&gt;18, Dataset[[#This Row],[Age]]&lt;=30), "19-30",
    AND(Dataset[[#This Row],[Age]]&gt;30, Dataset[[#This Row],[Age]]&lt;=60), "31-60",
    Dataset[[#This Row],[Age]]&gt;60, "above 60"
)</f>
        <v>above 60</v>
      </c>
      <c r="D264">
        <v>1</v>
      </c>
      <c r="E264">
        <v>1</v>
      </c>
      <c r="F264">
        <v>0</v>
      </c>
      <c r="G26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64" s="1" t="s">
        <v>48</v>
      </c>
      <c r="I264" s="1" t="s">
        <v>11</v>
      </c>
      <c r="J264" s="1" t="s">
        <v>22</v>
      </c>
      <c r="K264">
        <v>1</v>
      </c>
    </row>
    <row r="265" spans="1:11" x14ac:dyDescent="0.3">
      <c r="A265" s="1" t="s">
        <v>9</v>
      </c>
      <c r="B265">
        <v>51</v>
      </c>
      <c r="C265" t="str" cm="1">
        <f t="array" ref="C265">_xlfn.IFS(
    Dataset[[#This Row],[Age]]&lt;=10, "0-10",
    AND(Dataset[[#This Row],[Age]]&gt;10, Dataset[[#This Row],[Age]]&lt;=18), "11-18",
    AND(Dataset[[#This Row],[Age]]&gt;18, Dataset[[#This Row],[Age]]&lt;=30), "19-30",
    AND(Dataset[[#This Row],[Age]]&gt;30, Dataset[[#This Row],[Age]]&lt;=60), "31-60",
    Dataset[[#This Row],[Age]]&gt;60, "above 60"
)</f>
        <v>31-60</v>
      </c>
      <c r="D265">
        <v>1</v>
      </c>
      <c r="E265">
        <v>1</v>
      </c>
      <c r="F265">
        <v>1</v>
      </c>
      <c r="G26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65" s="1" t="s">
        <v>31</v>
      </c>
      <c r="I265" s="1" t="s">
        <v>15</v>
      </c>
      <c r="J265" s="1" t="s">
        <v>17</v>
      </c>
      <c r="K265">
        <v>1</v>
      </c>
    </row>
    <row r="266" spans="1:11" x14ac:dyDescent="0.3">
      <c r="A266" s="1" t="s">
        <v>9</v>
      </c>
      <c r="B266">
        <v>11</v>
      </c>
      <c r="C266" t="str" cm="1">
        <f t="array" ref="C266">_xlfn.IFS(
    Dataset[[#This Row],[Age]]&lt;=10, "0-10",
    AND(Dataset[[#This Row],[Age]]&gt;10, Dataset[[#This Row],[Age]]&lt;=18), "11-18",
    AND(Dataset[[#This Row],[Age]]&gt;18, Dataset[[#This Row],[Age]]&lt;=30), "19-30",
    AND(Dataset[[#This Row],[Age]]&gt;30, Dataset[[#This Row],[Age]]&lt;=60), "31-60",
    Dataset[[#This Row],[Age]]&gt;60, "above 60"
)</f>
        <v>11-18</v>
      </c>
      <c r="D266">
        <v>0</v>
      </c>
      <c r="E266">
        <v>0</v>
      </c>
      <c r="F266">
        <v>1</v>
      </c>
      <c r="G26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66" s="1" t="s">
        <v>10</v>
      </c>
      <c r="I266" s="1" t="s">
        <v>11</v>
      </c>
      <c r="J266" s="1" t="s">
        <v>12</v>
      </c>
      <c r="K266">
        <v>0</v>
      </c>
    </row>
    <row r="267" spans="1:11" x14ac:dyDescent="0.3">
      <c r="A267" s="1" t="s">
        <v>13</v>
      </c>
      <c r="B267">
        <v>20</v>
      </c>
      <c r="C267" t="str" cm="1">
        <f t="array" ref="C267">_xlfn.IFS(
    Dataset[[#This Row],[Age]]&lt;=10, "0-10",
    AND(Dataset[[#This Row],[Age]]&gt;10, Dataset[[#This Row],[Age]]&lt;=18), "11-18",
    AND(Dataset[[#This Row],[Age]]&gt;18, Dataset[[#This Row],[Age]]&lt;=30), "19-30",
    AND(Dataset[[#This Row],[Age]]&gt;30, Dataset[[#This Row],[Age]]&lt;=60), "31-60",
    Dataset[[#This Row],[Age]]&gt;60, "above 60"
)</f>
        <v>19-30</v>
      </c>
      <c r="D267">
        <v>1</v>
      </c>
      <c r="E267">
        <v>1</v>
      </c>
      <c r="F267">
        <v>1</v>
      </c>
      <c r="G26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67" s="1" t="s">
        <v>39</v>
      </c>
      <c r="I267" s="1" t="s">
        <v>15</v>
      </c>
      <c r="J267" s="1" t="s">
        <v>12</v>
      </c>
      <c r="K267">
        <v>1</v>
      </c>
    </row>
    <row r="268" spans="1:11" x14ac:dyDescent="0.3">
      <c r="A268" s="1" t="s">
        <v>13</v>
      </c>
      <c r="B268">
        <v>8</v>
      </c>
      <c r="C268" t="str" cm="1">
        <f t="array" ref="C268">_xlfn.IFS(
    Dataset[[#This Row],[Age]]&lt;=10, "0-10",
    AND(Dataset[[#This Row],[Age]]&gt;10, Dataset[[#This Row],[Age]]&lt;=18), "11-18",
    AND(Dataset[[#This Row],[Age]]&gt;18, Dataset[[#This Row],[Age]]&lt;=30), "19-30",
    AND(Dataset[[#This Row],[Age]]&gt;30, Dataset[[#This Row],[Age]]&lt;=60), "31-60",
    Dataset[[#This Row],[Age]]&gt;60, "above 60"
)</f>
        <v>0-10</v>
      </c>
      <c r="D268">
        <v>0</v>
      </c>
      <c r="E268">
        <v>0</v>
      </c>
      <c r="F268">
        <v>0</v>
      </c>
      <c r="G26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68" s="1" t="s">
        <v>45</v>
      </c>
      <c r="I268" s="1" t="s">
        <v>11</v>
      </c>
      <c r="J268" s="1" t="s">
        <v>22</v>
      </c>
      <c r="K268">
        <v>0</v>
      </c>
    </row>
    <row r="269" spans="1:11" x14ac:dyDescent="0.3">
      <c r="A269" s="1" t="s">
        <v>13</v>
      </c>
      <c r="B269">
        <v>27</v>
      </c>
      <c r="C269" t="str" cm="1">
        <f t="array" ref="C269">_xlfn.IFS(
    Dataset[[#This Row],[Age]]&lt;=10, "0-10",
    AND(Dataset[[#This Row],[Age]]&gt;10, Dataset[[#This Row],[Age]]&lt;=18), "11-18",
    AND(Dataset[[#This Row],[Age]]&gt;18, Dataset[[#This Row],[Age]]&lt;=30), "19-30",
    AND(Dataset[[#This Row],[Age]]&gt;30, Dataset[[#This Row],[Age]]&lt;=60), "31-60",
    Dataset[[#This Row],[Age]]&gt;60, "above 60"
)</f>
        <v>19-30</v>
      </c>
      <c r="D269">
        <v>1</v>
      </c>
      <c r="E269">
        <v>1</v>
      </c>
      <c r="F269">
        <v>1</v>
      </c>
      <c r="G26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69" s="1" t="s">
        <v>42</v>
      </c>
      <c r="I269" s="1" t="s">
        <v>15</v>
      </c>
      <c r="J269" s="1" t="s">
        <v>22</v>
      </c>
      <c r="K269">
        <v>1</v>
      </c>
    </row>
    <row r="270" spans="1:11" x14ac:dyDescent="0.3">
      <c r="A270" s="1" t="s">
        <v>9</v>
      </c>
      <c r="B270">
        <v>44</v>
      </c>
      <c r="C270" t="str" cm="1">
        <f t="array" ref="C270">_xlfn.IFS(
    Dataset[[#This Row],[Age]]&lt;=10, "0-10",
    AND(Dataset[[#This Row],[Age]]&gt;10, Dataset[[#This Row],[Age]]&lt;=18), "11-18",
    AND(Dataset[[#This Row],[Age]]&gt;18, Dataset[[#This Row],[Age]]&lt;=30), "19-30",
    AND(Dataset[[#This Row],[Age]]&gt;30, Dataset[[#This Row],[Age]]&lt;=60), "31-60",
    Dataset[[#This Row],[Age]]&gt;60, "above 60"
)</f>
        <v>31-60</v>
      </c>
      <c r="D270">
        <v>1</v>
      </c>
      <c r="E270">
        <v>1</v>
      </c>
      <c r="F270">
        <v>1</v>
      </c>
      <c r="G27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70" s="1" t="s">
        <v>18</v>
      </c>
      <c r="I270" s="1" t="s">
        <v>11</v>
      </c>
      <c r="J270" s="1" t="s">
        <v>12</v>
      </c>
      <c r="K270">
        <v>1</v>
      </c>
    </row>
    <row r="271" spans="1:11" x14ac:dyDescent="0.3">
      <c r="A271" s="1" t="s">
        <v>9</v>
      </c>
      <c r="B271">
        <v>28</v>
      </c>
      <c r="C271" t="str" cm="1">
        <f t="array" ref="C271">_xlfn.IFS(
    Dataset[[#This Row],[Age]]&lt;=10, "0-10",
    AND(Dataset[[#This Row],[Age]]&gt;10, Dataset[[#This Row],[Age]]&lt;=18), "11-18",
    AND(Dataset[[#This Row],[Age]]&gt;18, Dataset[[#This Row],[Age]]&lt;=30), "19-30",
    AND(Dataset[[#This Row],[Age]]&gt;30, Dataset[[#This Row],[Age]]&lt;=60), "31-60",
    Dataset[[#This Row],[Age]]&gt;60, "above 60"
)</f>
        <v>19-30</v>
      </c>
      <c r="D271">
        <v>1</v>
      </c>
      <c r="E271">
        <v>1</v>
      </c>
      <c r="F271">
        <v>0</v>
      </c>
      <c r="G27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71" s="1" t="s">
        <v>20</v>
      </c>
      <c r="I271" s="1" t="s">
        <v>15</v>
      </c>
      <c r="J271" s="1" t="s">
        <v>22</v>
      </c>
      <c r="K271">
        <v>1</v>
      </c>
    </row>
    <row r="272" spans="1:11" x14ac:dyDescent="0.3">
      <c r="A272" s="1" t="s">
        <v>13</v>
      </c>
      <c r="B272">
        <v>38</v>
      </c>
      <c r="C272" t="str" cm="1">
        <f t="array" ref="C272">_xlfn.IFS(
    Dataset[[#This Row],[Age]]&lt;=10, "0-10",
    AND(Dataset[[#This Row],[Age]]&gt;10, Dataset[[#This Row],[Age]]&lt;=18), "11-18",
    AND(Dataset[[#This Row],[Age]]&gt;18, Dataset[[#This Row],[Age]]&lt;=30), "19-30",
    AND(Dataset[[#This Row],[Age]]&gt;30, Dataset[[#This Row],[Age]]&lt;=60), "31-60",
    Dataset[[#This Row],[Age]]&gt;60, "above 60"
)</f>
        <v>31-60</v>
      </c>
      <c r="D272">
        <v>0</v>
      </c>
      <c r="E272">
        <v>0</v>
      </c>
      <c r="F272">
        <v>0</v>
      </c>
      <c r="G27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72" s="1" t="s">
        <v>34</v>
      </c>
      <c r="I272" s="1" t="s">
        <v>11</v>
      </c>
      <c r="J272" s="1" t="s">
        <v>22</v>
      </c>
      <c r="K272">
        <v>0</v>
      </c>
    </row>
    <row r="273" spans="1:11" x14ac:dyDescent="0.3">
      <c r="A273" s="1" t="s">
        <v>13</v>
      </c>
      <c r="B273">
        <v>27</v>
      </c>
      <c r="C273" t="str" cm="1">
        <f t="array" ref="C273">_xlfn.IFS(
    Dataset[[#This Row],[Age]]&lt;=10, "0-10",
    AND(Dataset[[#This Row],[Age]]&gt;10, Dataset[[#This Row],[Age]]&lt;=18), "11-18",
    AND(Dataset[[#This Row],[Age]]&gt;18, Dataset[[#This Row],[Age]]&lt;=30), "19-30",
    AND(Dataset[[#This Row],[Age]]&gt;30, Dataset[[#This Row],[Age]]&lt;=60), "31-60",
    Dataset[[#This Row],[Age]]&gt;60, "above 60"
)</f>
        <v>19-30</v>
      </c>
      <c r="D273">
        <v>0</v>
      </c>
      <c r="E273">
        <v>0</v>
      </c>
      <c r="F273">
        <v>0</v>
      </c>
      <c r="G27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73" s="1" t="s">
        <v>48</v>
      </c>
      <c r="I273" s="1" t="s">
        <v>15</v>
      </c>
      <c r="J273" s="1" t="s">
        <v>22</v>
      </c>
      <c r="K273">
        <v>0</v>
      </c>
    </row>
    <row r="274" spans="1:11" x14ac:dyDescent="0.3">
      <c r="A274" s="1" t="s">
        <v>13</v>
      </c>
      <c r="B274">
        <v>36</v>
      </c>
      <c r="C274" t="str" cm="1">
        <f t="array" ref="C274">_xlfn.IFS(
    Dataset[[#This Row],[Age]]&lt;=10, "0-10",
    AND(Dataset[[#This Row],[Age]]&gt;10, Dataset[[#This Row],[Age]]&lt;=18), "11-18",
    AND(Dataset[[#This Row],[Age]]&gt;18, Dataset[[#This Row],[Age]]&lt;=30), "19-30",
    AND(Dataset[[#This Row],[Age]]&gt;30, Dataset[[#This Row],[Age]]&lt;=60), "31-60",
    Dataset[[#This Row],[Age]]&gt;60, "above 60"
)</f>
        <v>31-60</v>
      </c>
      <c r="D274">
        <v>1</v>
      </c>
      <c r="E274">
        <v>1</v>
      </c>
      <c r="F274">
        <v>0</v>
      </c>
      <c r="G27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74" s="1" t="s">
        <v>47</v>
      </c>
      <c r="I274" s="1" t="s">
        <v>11</v>
      </c>
      <c r="J274" s="1" t="s">
        <v>12</v>
      </c>
      <c r="K274">
        <v>1</v>
      </c>
    </row>
    <row r="275" spans="1:11" x14ac:dyDescent="0.3">
      <c r="A275" s="1" t="s">
        <v>9</v>
      </c>
      <c r="B275">
        <v>65</v>
      </c>
      <c r="C275" t="str" cm="1">
        <f t="array" ref="C275">_xlfn.IFS(
    Dataset[[#This Row],[Age]]&lt;=10, "0-10",
    AND(Dataset[[#This Row],[Age]]&gt;10, Dataset[[#This Row],[Age]]&lt;=18), "11-18",
    AND(Dataset[[#This Row],[Age]]&gt;18, Dataset[[#This Row],[Age]]&lt;=30), "19-30",
    AND(Dataset[[#This Row],[Age]]&gt;30, Dataset[[#This Row],[Age]]&lt;=60), "31-60",
    Dataset[[#This Row],[Age]]&gt;60, "above 60"
)</f>
        <v>above 60</v>
      </c>
      <c r="D275">
        <v>0</v>
      </c>
      <c r="E275">
        <v>0</v>
      </c>
      <c r="F275">
        <v>1</v>
      </c>
      <c r="G27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75" s="1" t="s">
        <v>16</v>
      </c>
      <c r="I275" s="1" t="s">
        <v>15</v>
      </c>
      <c r="J275" s="1" t="s">
        <v>12</v>
      </c>
      <c r="K275">
        <v>0</v>
      </c>
    </row>
    <row r="276" spans="1:11" x14ac:dyDescent="0.3">
      <c r="A276" s="1" t="s">
        <v>9</v>
      </c>
      <c r="B276">
        <v>38</v>
      </c>
      <c r="C276" t="str" cm="1">
        <f t="array" ref="C276">_xlfn.IFS(
    Dataset[[#This Row],[Age]]&lt;=10, "0-10",
    AND(Dataset[[#This Row],[Age]]&gt;10, Dataset[[#This Row],[Age]]&lt;=18), "11-18",
    AND(Dataset[[#This Row],[Age]]&gt;18, Dataset[[#This Row],[Age]]&lt;=30), "19-30",
    AND(Dataset[[#This Row],[Age]]&gt;30, Dataset[[#This Row],[Age]]&lt;=60), "31-60",
    Dataset[[#This Row],[Age]]&gt;60, "above 60"
)</f>
        <v>31-60</v>
      </c>
      <c r="D276">
        <v>1</v>
      </c>
      <c r="E276">
        <v>1</v>
      </c>
      <c r="F276">
        <v>0</v>
      </c>
      <c r="G27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76" s="1" t="s">
        <v>33</v>
      </c>
      <c r="I276" s="1" t="s">
        <v>11</v>
      </c>
      <c r="J276" s="1" t="s">
        <v>17</v>
      </c>
      <c r="K276">
        <v>1</v>
      </c>
    </row>
    <row r="277" spans="1:11" x14ac:dyDescent="0.3">
      <c r="A277" s="1" t="s">
        <v>9</v>
      </c>
      <c r="B277">
        <v>42</v>
      </c>
      <c r="C277" t="str" cm="1">
        <f t="array" ref="C277">_xlfn.IFS(
    Dataset[[#This Row],[Age]]&lt;=10, "0-10",
    AND(Dataset[[#This Row],[Age]]&gt;10, Dataset[[#This Row],[Age]]&lt;=18), "11-18",
    AND(Dataset[[#This Row],[Age]]&gt;18, Dataset[[#This Row],[Age]]&lt;=30), "19-30",
    AND(Dataset[[#This Row],[Age]]&gt;30, Dataset[[#This Row],[Age]]&lt;=60), "31-60",
    Dataset[[#This Row],[Age]]&gt;60, "above 60"
)</f>
        <v>31-60</v>
      </c>
      <c r="D277">
        <v>1</v>
      </c>
      <c r="E277">
        <v>1</v>
      </c>
      <c r="F277">
        <v>0</v>
      </c>
      <c r="G27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77" s="1" t="s">
        <v>23</v>
      </c>
      <c r="I277" s="1" t="s">
        <v>15</v>
      </c>
      <c r="J277" s="1" t="s">
        <v>12</v>
      </c>
      <c r="K277">
        <v>1</v>
      </c>
    </row>
    <row r="278" spans="1:11" x14ac:dyDescent="0.3">
      <c r="A278" s="1" t="s">
        <v>13</v>
      </c>
      <c r="B278">
        <v>10</v>
      </c>
      <c r="C278" t="str" cm="1">
        <f t="array" ref="C278">_xlfn.IFS(
    Dataset[[#This Row],[Age]]&lt;=10, "0-10",
    AND(Dataset[[#This Row],[Age]]&gt;10, Dataset[[#This Row],[Age]]&lt;=18), "11-18",
    AND(Dataset[[#This Row],[Age]]&gt;18, Dataset[[#This Row],[Age]]&lt;=30), "19-30",
    AND(Dataset[[#This Row],[Age]]&gt;30, Dataset[[#This Row],[Age]]&lt;=60), "31-60",
    Dataset[[#This Row],[Age]]&gt;60, "above 60"
)</f>
        <v>0-10</v>
      </c>
      <c r="D278">
        <v>1</v>
      </c>
      <c r="E278">
        <v>1</v>
      </c>
      <c r="F278">
        <v>1</v>
      </c>
      <c r="G27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78" s="1" t="s">
        <v>46</v>
      </c>
      <c r="I278" s="1" t="s">
        <v>11</v>
      </c>
      <c r="J278" s="1" t="s">
        <v>12</v>
      </c>
      <c r="K278">
        <v>1</v>
      </c>
    </row>
    <row r="279" spans="1:11" x14ac:dyDescent="0.3">
      <c r="A279" s="1" t="s">
        <v>13</v>
      </c>
      <c r="B279">
        <v>44</v>
      </c>
      <c r="C279" t="str" cm="1">
        <f t="array" ref="C279">_xlfn.IFS(
    Dataset[[#This Row],[Age]]&lt;=10, "0-10",
    AND(Dataset[[#This Row],[Age]]&gt;10, Dataset[[#This Row],[Age]]&lt;=18), "11-18",
    AND(Dataset[[#This Row],[Age]]&gt;18, Dataset[[#This Row],[Age]]&lt;=30), "19-30",
    AND(Dataset[[#This Row],[Age]]&gt;30, Dataset[[#This Row],[Age]]&lt;=60), "31-60",
    Dataset[[#This Row],[Age]]&gt;60, "above 60"
)</f>
        <v>31-60</v>
      </c>
      <c r="D279">
        <v>0</v>
      </c>
      <c r="E279">
        <v>0</v>
      </c>
      <c r="F279">
        <v>0</v>
      </c>
      <c r="G27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79" s="1" t="s">
        <v>40</v>
      </c>
      <c r="I279" s="1" t="s">
        <v>15</v>
      </c>
      <c r="J279" s="1" t="s">
        <v>22</v>
      </c>
      <c r="K279">
        <v>0</v>
      </c>
    </row>
    <row r="280" spans="1:11" x14ac:dyDescent="0.3">
      <c r="A280" s="1" t="s">
        <v>13</v>
      </c>
      <c r="B280">
        <v>19</v>
      </c>
      <c r="C280" t="str" cm="1">
        <f t="array" ref="C280">_xlfn.IFS(
    Dataset[[#This Row],[Age]]&lt;=10, "0-10",
    AND(Dataset[[#This Row],[Age]]&gt;10, Dataset[[#This Row],[Age]]&lt;=18), "11-18",
    AND(Dataset[[#This Row],[Age]]&gt;18, Dataset[[#This Row],[Age]]&lt;=30), "19-30",
    AND(Dataset[[#This Row],[Age]]&gt;30, Dataset[[#This Row],[Age]]&lt;=60), "31-60",
    Dataset[[#This Row],[Age]]&gt;60, "above 60"
)</f>
        <v>19-30</v>
      </c>
      <c r="D280">
        <v>1</v>
      </c>
      <c r="E280">
        <v>1</v>
      </c>
      <c r="F280">
        <v>1</v>
      </c>
      <c r="G28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80" s="1" t="s">
        <v>36</v>
      </c>
      <c r="I280" s="1" t="s">
        <v>11</v>
      </c>
      <c r="J280" s="1" t="s">
        <v>17</v>
      </c>
      <c r="K280">
        <v>1</v>
      </c>
    </row>
    <row r="281" spans="1:11" x14ac:dyDescent="0.3">
      <c r="A281" s="1" t="s">
        <v>13</v>
      </c>
      <c r="B281">
        <v>18</v>
      </c>
      <c r="C281" t="str" cm="1">
        <f t="array" ref="C281">_xlfn.IFS(
    Dataset[[#This Row],[Age]]&lt;=10, "0-10",
    AND(Dataset[[#This Row],[Age]]&gt;10, Dataset[[#This Row],[Age]]&lt;=18), "11-18",
    AND(Dataset[[#This Row],[Age]]&gt;18, Dataset[[#This Row],[Age]]&lt;=30), "19-30",
    AND(Dataset[[#This Row],[Age]]&gt;30, Dataset[[#This Row],[Age]]&lt;=60), "31-60",
    Dataset[[#This Row],[Age]]&gt;60, "above 60"
)</f>
        <v>11-18</v>
      </c>
      <c r="D281">
        <v>1</v>
      </c>
      <c r="E281">
        <v>1</v>
      </c>
      <c r="F281">
        <v>1</v>
      </c>
      <c r="G28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81" s="1" t="s">
        <v>34</v>
      </c>
      <c r="I281" s="1" t="s">
        <v>15</v>
      </c>
      <c r="J281" s="1" t="s">
        <v>17</v>
      </c>
      <c r="K281">
        <v>1</v>
      </c>
    </row>
    <row r="282" spans="1:11" x14ac:dyDescent="0.3">
      <c r="A282" s="1" t="s">
        <v>13</v>
      </c>
      <c r="B282">
        <v>29</v>
      </c>
      <c r="C282" t="str" cm="1">
        <f t="array" ref="C282">_xlfn.IFS(
    Dataset[[#This Row],[Age]]&lt;=10, "0-10",
    AND(Dataset[[#This Row],[Age]]&gt;10, Dataset[[#This Row],[Age]]&lt;=18), "11-18",
    AND(Dataset[[#This Row],[Age]]&gt;18, Dataset[[#This Row],[Age]]&lt;=30), "19-30",
    AND(Dataset[[#This Row],[Age]]&gt;30, Dataset[[#This Row],[Age]]&lt;=60), "31-60",
    Dataset[[#This Row],[Age]]&gt;60, "above 60"
)</f>
        <v>19-30</v>
      </c>
      <c r="D282">
        <v>0</v>
      </c>
      <c r="E282">
        <v>0</v>
      </c>
      <c r="F282">
        <v>1</v>
      </c>
      <c r="G28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82" s="1" t="s">
        <v>49</v>
      </c>
      <c r="I282" s="1" t="s">
        <v>11</v>
      </c>
      <c r="J282" s="1" t="s">
        <v>17</v>
      </c>
      <c r="K282">
        <v>0</v>
      </c>
    </row>
    <row r="283" spans="1:11" x14ac:dyDescent="0.3">
      <c r="A283" s="1" t="s">
        <v>13</v>
      </c>
      <c r="B283">
        <v>58</v>
      </c>
      <c r="C283" t="str" cm="1">
        <f t="array" ref="C283">_xlfn.IFS(
    Dataset[[#This Row],[Age]]&lt;=10, "0-10",
    AND(Dataset[[#This Row],[Age]]&gt;10, Dataset[[#This Row],[Age]]&lt;=18), "11-18",
    AND(Dataset[[#This Row],[Age]]&gt;18, Dataset[[#This Row],[Age]]&lt;=30), "19-30",
    AND(Dataset[[#This Row],[Age]]&gt;30, Dataset[[#This Row],[Age]]&lt;=60), "31-60",
    Dataset[[#This Row],[Age]]&gt;60, "above 60"
)</f>
        <v>31-60</v>
      </c>
      <c r="D283">
        <v>1</v>
      </c>
      <c r="E283">
        <v>1</v>
      </c>
      <c r="F283">
        <v>1</v>
      </c>
      <c r="G28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83" s="1" t="s">
        <v>47</v>
      </c>
      <c r="I283" s="1" t="s">
        <v>15</v>
      </c>
      <c r="J283" s="1" t="s">
        <v>17</v>
      </c>
      <c r="K283">
        <v>1</v>
      </c>
    </row>
    <row r="284" spans="1:11" x14ac:dyDescent="0.3">
      <c r="A284" s="1" t="s">
        <v>9</v>
      </c>
      <c r="B284">
        <v>45</v>
      </c>
      <c r="C284" t="str" cm="1">
        <f t="array" ref="C284">_xlfn.IFS(
    Dataset[[#This Row],[Age]]&lt;=10, "0-10",
    AND(Dataset[[#This Row],[Age]]&gt;10, Dataset[[#This Row],[Age]]&lt;=18), "11-18",
    AND(Dataset[[#This Row],[Age]]&gt;18, Dataset[[#This Row],[Age]]&lt;=30), "19-30",
    AND(Dataset[[#This Row],[Age]]&gt;30, Dataset[[#This Row],[Age]]&lt;=60), "31-60",
    Dataset[[#This Row],[Age]]&gt;60, "above 60"
)</f>
        <v>31-60</v>
      </c>
      <c r="D284">
        <v>1</v>
      </c>
      <c r="E284">
        <v>1</v>
      </c>
      <c r="F284">
        <v>1</v>
      </c>
      <c r="G28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84" s="1" t="s">
        <v>26</v>
      </c>
      <c r="I284" s="1" t="s">
        <v>11</v>
      </c>
      <c r="J284" s="1" t="s">
        <v>17</v>
      </c>
      <c r="K284">
        <v>1</v>
      </c>
    </row>
    <row r="285" spans="1:11" x14ac:dyDescent="0.3">
      <c r="A285" s="1" t="s">
        <v>9</v>
      </c>
      <c r="B285">
        <v>40</v>
      </c>
      <c r="C285" t="str" cm="1">
        <f t="array" ref="C285">_xlfn.IFS(
    Dataset[[#This Row],[Age]]&lt;=10, "0-10",
    AND(Dataset[[#This Row],[Age]]&gt;10, Dataset[[#This Row],[Age]]&lt;=18), "11-18",
    AND(Dataset[[#This Row],[Age]]&gt;18, Dataset[[#This Row],[Age]]&lt;=30), "19-30",
    AND(Dataset[[#This Row],[Age]]&gt;30, Dataset[[#This Row],[Age]]&lt;=60), "31-60",
    Dataset[[#This Row],[Age]]&gt;60, "above 60"
)</f>
        <v>31-60</v>
      </c>
      <c r="D285">
        <v>1</v>
      </c>
      <c r="E285">
        <v>1</v>
      </c>
      <c r="F285">
        <v>0</v>
      </c>
      <c r="G28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85" s="1" t="s">
        <v>49</v>
      </c>
      <c r="I285" s="1" t="s">
        <v>15</v>
      </c>
      <c r="J285" s="1" t="s">
        <v>17</v>
      </c>
      <c r="K285">
        <v>1</v>
      </c>
    </row>
    <row r="286" spans="1:11" x14ac:dyDescent="0.3">
      <c r="A286" s="1" t="s">
        <v>9</v>
      </c>
      <c r="B286">
        <v>20</v>
      </c>
      <c r="C286" t="str" cm="1">
        <f t="array" ref="C286">_xlfn.IFS(
    Dataset[[#This Row],[Age]]&lt;=10, "0-10",
    AND(Dataset[[#This Row],[Age]]&gt;10, Dataset[[#This Row],[Age]]&lt;=18), "11-18",
    AND(Dataset[[#This Row],[Age]]&gt;18, Dataset[[#This Row],[Age]]&lt;=30), "19-30",
    AND(Dataset[[#This Row],[Age]]&gt;30, Dataset[[#This Row],[Age]]&lt;=60), "31-60",
    Dataset[[#This Row],[Age]]&gt;60, "above 60"
)</f>
        <v>19-30</v>
      </c>
      <c r="D286">
        <v>0</v>
      </c>
      <c r="E286">
        <v>0</v>
      </c>
      <c r="F286">
        <v>0</v>
      </c>
      <c r="G28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86" s="1" t="s">
        <v>36</v>
      </c>
      <c r="I286" s="1" t="s">
        <v>11</v>
      </c>
      <c r="J286" s="1" t="s">
        <v>12</v>
      </c>
      <c r="K286">
        <v>0</v>
      </c>
    </row>
    <row r="287" spans="1:11" x14ac:dyDescent="0.3">
      <c r="A287" s="1" t="s">
        <v>13</v>
      </c>
      <c r="B287">
        <v>41</v>
      </c>
      <c r="C287" t="str" cm="1">
        <f t="array" ref="C287">_xlfn.IFS(
    Dataset[[#This Row],[Age]]&lt;=10, "0-10",
    AND(Dataset[[#This Row],[Age]]&gt;10, Dataset[[#This Row],[Age]]&lt;=18), "11-18",
    AND(Dataset[[#This Row],[Age]]&gt;18, Dataset[[#This Row],[Age]]&lt;=30), "19-30",
    AND(Dataset[[#This Row],[Age]]&gt;30, Dataset[[#This Row],[Age]]&lt;=60), "31-60",
    Dataset[[#This Row],[Age]]&gt;60, "above 60"
)</f>
        <v>31-60</v>
      </c>
      <c r="D287">
        <v>0</v>
      </c>
      <c r="E287">
        <v>0</v>
      </c>
      <c r="F287">
        <v>0</v>
      </c>
      <c r="G28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87" s="1" t="s">
        <v>32</v>
      </c>
      <c r="I287" s="1" t="s">
        <v>15</v>
      </c>
      <c r="J287" s="1" t="s">
        <v>12</v>
      </c>
      <c r="K287">
        <v>0</v>
      </c>
    </row>
    <row r="288" spans="1:11" x14ac:dyDescent="0.3">
      <c r="A288" s="1" t="s">
        <v>13</v>
      </c>
      <c r="B288">
        <v>23</v>
      </c>
      <c r="C288" t="str" cm="1">
        <f t="array" ref="C288">_xlfn.IFS(
    Dataset[[#This Row],[Age]]&lt;=10, "0-10",
    AND(Dataset[[#This Row],[Age]]&gt;10, Dataset[[#This Row],[Age]]&lt;=18), "11-18",
    AND(Dataset[[#This Row],[Age]]&gt;18, Dataset[[#This Row],[Age]]&lt;=30), "19-30",
    AND(Dataset[[#This Row],[Age]]&gt;30, Dataset[[#This Row],[Age]]&lt;=60), "31-60",
    Dataset[[#This Row],[Age]]&gt;60, "above 60"
)</f>
        <v>19-30</v>
      </c>
      <c r="D288">
        <v>1</v>
      </c>
      <c r="E288">
        <v>1</v>
      </c>
      <c r="F288">
        <v>0</v>
      </c>
      <c r="G28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88" s="1" t="s">
        <v>36</v>
      </c>
      <c r="I288" s="1" t="s">
        <v>11</v>
      </c>
      <c r="J288" s="1" t="s">
        <v>12</v>
      </c>
      <c r="K288">
        <v>1</v>
      </c>
    </row>
    <row r="289" spans="1:11" x14ac:dyDescent="0.3">
      <c r="A289" s="1" t="s">
        <v>13</v>
      </c>
      <c r="B289">
        <v>29</v>
      </c>
      <c r="C289" t="str" cm="1">
        <f t="array" ref="C289">_xlfn.IFS(
    Dataset[[#This Row],[Age]]&lt;=10, "0-10",
    AND(Dataset[[#This Row],[Age]]&gt;10, Dataset[[#This Row],[Age]]&lt;=18), "11-18",
    AND(Dataset[[#This Row],[Age]]&gt;18, Dataset[[#This Row],[Age]]&lt;=30), "19-30",
    AND(Dataset[[#This Row],[Age]]&gt;30, Dataset[[#This Row],[Age]]&lt;=60), "31-60",
    Dataset[[#This Row],[Age]]&gt;60, "above 60"
)</f>
        <v>19-30</v>
      </c>
      <c r="D289">
        <v>0</v>
      </c>
      <c r="E289">
        <v>0</v>
      </c>
      <c r="F289">
        <v>0</v>
      </c>
      <c r="G28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89" s="1" t="s">
        <v>50</v>
      </c>
      <c r="I289" s="1" t="s">
        <v>15</v>
      </c>
      <c r="J289" s="1" t="s">
        <v>12</v>
      </c>
      <c r="K289">
        <v>0</v>
      </c>
    </row>
    <row r="290" spans="1:11" x14ac:dyDescent="0.3">
      <c r="A290" s="1" t="s">
        <v>13</v>
      </c>
      <c r="B290">
        <v>48</v>
      </c>
      <c r="C290" t="str" cm="1">
        <f t="array" ref="C290">_xlfn.IFS(
    Dataset[[#This Row],[Age]]&lt;=10, "0-10",
    AND(Dataset[[#This Row],[Age]]&gt;10, Dataset[[#This Row],[Age]]&lt;=18), "11-18",
    AND(Dataset[[#This Row],[Age]]&gt;18, Dataset[[#This Row],[Age]]&lt;=30), "19-30",
    AND(Dataset[[#This Row],[Age]]&gt;30, Dataset[[#This Row],[Age]]&lt;=60), "31-60",
    Dataset[[#This Row],[Age]]&gt;60, "above 60"
)</f>
        <v>31-60</v>
      </c>
      <c r="D290">
        <v>1</v>
      </c>
      <c r="E290">
        <v>1</v>
      </c>
      <c r="F290">
        <v>1</v>
      </c>
      <c r="G29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90" s="1" t="s">
        <v>35</v>
      </c>
      <c r="I290" s="1" t="s">
        <v>11</v>
      </c>
      <c r="J290" s="1" t="s">
        <v>12</v>
      </c>
      <c r="K290">
        <v>1</v>
      </c>
    </row>
    <row r="291" spans="1:11" x14ac:dyDescent="0.3">
      <c r="A291" s="1" t="s">
        <v>9</v>
      </c>
      <c r="B291">
        <v>17</v>
      </c>
      <c r="C291" t="str" cm="1">
        <f t="array" ref="C291">_xlfn.IFS(
    Dataset[[#This Row],[Age]]&lt;=10, "0-10",
    AND(Dataset[[#This Row],[Age]]&gt;10, Dataset[[#This Row],[Age]]&lt;=18), "11-18",
    AND(Dataset[[#This Row],[Age]]&gt;18, Dataset[[#This Row],[Age]]&lt;=30), "19-30",
    AND(Dataset[[#This Row],[Age]]&gt;30, Dataset[[#This Row],[Age]]&lt;=60), "31-60",
    Dataset[[#This Row],[Age]]&gt;60, "above 60"
)</f>
        <v>11-18</v>
      </c>
      <c r="D291">
        <v>0</v>
      </c>
      <c r="E291">
        <v>0</v>
      </c>
      <c r="F291">
        <v>0</v>
      </c>
      <c r="G29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91" s="1" t="s">
        <v>48</v>
      </c>
      <c r="I291" s="1" t="s">
        <v>15</v>
      </c>
      <c r="J291" s="1" t="s">
        <v>12</v>
      </c>
      <c r="K291">
        <v>0</v>
      </c>
    </row>
    <row r="292" spans="1:11" x14ac:dyDescent="0.3">
      <c r="A292" s="1" t="s">
        <v>9</v>
      </c>
      <c r="B292">
        <v>62</v>
      </c>
      <c r="C292" t="str" cm="1">
        <f t="array" ref="C292">_xlfn.IFS(
    Dataset[[#This Row],[Age]]&lt;=10, "0-10",
    AND(Dataset[[#This Row],[Age]]&gt;10, Dataset[[#This Row],[Age]]&lt;=18), "11-18",
    AND(Dataset[[#This Row],[Age]]&gt;18, Dataset[[#This Row],[Age]]&lt;=30), "19-30",
    AND(Dataset[[#This Row],[Age]]&gt;30, Dataset[[#This Row],[Age]]&lt;=60), "31-60",
    Dataset[[#This Row],[Age]]&gt;60, "above 60"
)</f>
        <v>above 60</v>
      </c>
      <c r="D292">
        <v>0</v>
      </c>
      <c r="E292">
        <v>0</v>
      </c>
      <c r="F292">
        <v>0</v>
      </c>
      <c r="G29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92" s="1" t="s">
        <v>18</v>
      </c>
      <c r="I292" s="1" t="s">
        <v>11</v>
      </c>
      <c r="J292" s="1" t="s">
        <v>22</v>
      </c>
      <c r="K292">
        <v>0</v>
      </c>
    </row>
    <row r="293" spans="1:11" x14ac:dyDescent="0.3">
      <c r="A293" s="1" t="s">
        <v>9</v>
      </c>
      <c r="B293">
        <v>34</v>
      </c>
      <c r="C293" t="str" cm="1">
        <f t="array" ref="C293">_xlfn.IFS(
    Dataset[[#This Row],[Age]]&lt;=10, "0-10",
    AND(Dataset[[#This Row],[Age]]&gt;10, Dataset[[#This Row],[Age]]&lt;=18), "11-18",
    AND(Dataset[[#This Row],[Age]]&gt;18, Dataset[[#This Row],[Age]]&lt;=30), "19-30",
    AND(Dataset[[#This Row],[Age]]&gt;30, Dataset[[#This Row],[Age]]&lt;=60), "31-60",
    Dataset[[#This Row],[Age]]&gt;60, "above 60"
)</f>
        <v>31-60</v>
      </c>
      <c r="D293">
        <v>1</v>
      </c>
      <c r="E293">
        <v>1</v>
      </c>
      <c r="F293">
        <v>0</v>
      </c>
      <c r="G29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93" s="1" t="s">
        <v>18</v>
      </c>
      <c r="I293" s="1" t="s">
        <v>15</v>
      </c>
      <c r="J293" s="1" t="s">
        <v>22</v>
      </c>
      <c r="K293">
        <v>1</v>
      </c>
    </row>
    <row r="294" spans="1:11" x14ac:dyDescent="0.3">
      <c r="A294" s="1" t="s">
        <v>9</v>
      </c>
      <c r="B294">
        <v>8</v>
      </c>
      <c r="C294" t="str" cm="1">
        <f t="array" ref="C294">_xlfn.IFS(
    Dataset[[#This Row],[Age]]&lt;=10, "0-10",
    AND(Dataset[[#This Row],[Age]]&gt;10, Dataset[[#This Row],[Age]]&lt;=18), "11-18",
    AND(Dataset[[#This Row],[Age]]&gt;18, Dataset[[#This Row],[Age]]&lt;=30), "19-30",
    AND(Dataset[[#This Row],[Age]]&gt;30, Dataset[[#This Row],[Age]]&lt;=60), "31-60",
    Dataset[[#This Row],[Age]]&gt;60, "above 60"
)</f>
        <v>0-10</v>
      </c>
      <c r="D294">
        <v>1</v>
      </c>
      <c r="E294">
        <v>1</v>
      </c>
      <c r="F294">
        <v>0</v>
      </c>
      <c r="G29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294" s="1" t="s">
        <v>16</v>
      </c>
      <c r="I294" s="1" t="s">
        <v>11</v>
      </c>
      <c r="J294" s="1" t="s">
        <v>22</v>
      </c>
      <c r="K294">
        <v>1</v>
      </c>
    </row>
    <row r="295" spans="1:11" x14ac:dyDescent="0.3">
      <c r="A295" s="1" t="s">
        <v>13</v>
      </c>
      <c r="B295">
        <v>22</v>
      </c>
      <c r="C295" t="str" cm="1">
        <f t="array" ref="C295">_xlfn.IFS(
    Dataset[[#This Row],[Age]]&lt;=10, "0-10",
    AND(Dataset[[#This Row],[Age]]&gt;10, Dataset[[#This Row],[Age]]&lt;=18), "11-18",
    AND(Dataset[[#This Row],[Age]]&gt;18, Dataset[[#This Row],[Age]]&lt;=30), "19-30",
    AND(Dataset[[#This Row],[Age]]&gt;30, Dataset[[#This Row],[Age]]&lt;=60), "31-60",
    Dataset[[#This Row],[Age]]&gt;60, "above 60"
)</f>
        <v>19-30</v>
      </c>
      <c r="D295">
        <v>0</v>
      </c>
      <c r="E295">
        <v>0</v>
      </c>
      <c r="F295">
        <v>0</v>
      </c>
      <c r="G29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95" s="1" t="s">
        <v>19</v>
      </c>
      <c r="I295" s="1" t="s">
        <v>15</v>
      </c>
      <c r="J295" s="1" t="s">
        <v>12</v>
      </c>
      <c r="K295">
        <v>0</v>
      </c>
    </row>
    <row r="296" spans="1:11" x14ac:dyDescent="0.3">
      <c r="A296" s="1" t="s">
        <v>13</v>
      </c>
      <c r="B296">
        <v>23</v>
      </c>
      <c r="C296" t="str" cm="1">
        <f t="array" ref="C296">_xlfn.IFS(
    Dataset[[#This Row],[Age]]&lt;=10, "0-10",
    AND(Dataset[[#This Row],[Age]]&gt;10, Dataset[[#This Row],[Age]]&lt;=18), "11-18",
    AND(Dataset[[#This Row],[Age]]&gt;18, Dataset[[#This Row],[Age]]&lt;=30), "19-30",
    AND(Dataset[[#This Row],[Age]]&gt;30, Dataset[[#This Row],[Age]]&lt;=60), "31-60",
    Dataset[[#This Row],[Age]]&gt;60, "above 60"
)</f>
        <v>19-30</v>
      </c>
      <c r="D296">
        <v>0</v>
      </c>
      <c r="E296">
        <v>0</v>
      </c>
      <c r="F296">
        <v>1</v>
      </c>
      <c r="G29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96" s="1" t="s">
        <v>45</v>
      </c>
      <c r="I296" s="1" t="s">
        <v>11</v>
      </c>
      <c r="J296" s="1" t="s">
        <v>17</v>
      </c>
      <c r="K296">
        <v>0</v>
      </c>
    </row>
    <row r="297" spans="1:11" x14ac:dyDescent="0.3">
      <c r="A297" s="1" t="s">
        <v>13</v>
      </c>
      <c r="B297">
        <v>47</v>
      </c>
      <c r="C297" t="str" cm="1">
        <f t="array" ref="C297">_xlfn.IFS(
    Dataset[[#This Row],[Age]]&lt;=10, "0-10",
    AND(Dataset[[#This Row],[Age]]&gt;10, Dataset[[#This Row],[Age]]&lt;=18), "11-18",
    AND(Dataset[[#This Row],[Age]]&gt;18, Dataset[[#This Row],[Age]]&lt;=30), "19-30",
    AND(Dataset[[#This Row],[Age]]&gt;30, Dataset[[#This Row],[Age]]&lt;=60), "31-60",
    Dataset[[#This Row],[Age]]&gt;60, "above 60"
)</f>
        <v>31-60</v>
      </c>
      <c r="D297">
        <v>0</v>
      </c>
      <c r="E297">
        <v>0</v>
      </c>
      <c r="F297">
        <v>0</v>
      </c>
      <c r="G29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97" s="1" t="s">
        <v>28</v>
      </c>
      <c r="I297" s="1" t="s">
        <v>15</v>
      </c>
      <c r="J297" s="1" t="s">
        <v>22</v>
      </c>
      <c r="K297">
        <v>0</v>
      </c>
    </row>
    <row r="298" spans="1:11" x14ac:dyDescent="0.3">
      <c r="A298" s="1" t="s">
        <v>13</v>
      </c>
      <c r="B298">
        <v>50</v>
      </c>
      <c r="C298" t="str" cm="1">
        <f t="array" ref="C298">_xlfn.IFS(
    Dataset[[#This Row],[Age]]&lt;=10, "0-10",
    AND(Dataset[[#This Row],[Age]]&gt;10, Dataset[[#This Row],[Age]]&lt;=18), "11-18",
    AND(Dataset[[#This Row],[Age]]&gt;18, Dataset[[#This Row],[Age]]&lt;=30), "19-30",
    AND(Dataset[[#This Row],[Age]]&gt;30, Dataset[[#This Row],[Age]]&lt;=60), "31-60",
    Dataset[[#This Row],[Age]]&gt;60, "above 60"
)</f>
        <v>31-60</v>
      </c>
      <c r="D298">
        <v>0</v>
      </c>
      <c r="E298">
        <v>0</v>
      </c>
      <c r="F298">
        <v>1</v>
      </c>
      <c r="G29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98" s="1" t="s">
        <v>49</v>
      </c>
      <c r="I298" s="1" t="s">
        <v>11</v>
      </c>
      <c r="J298" s="1" t="s">
        <v>22</v>
      </c>
      <c r="K298">
        <v>0</v>
      </c>
    </row>
    <row r="299" spans="1:11" x14ac:dyDescent="0.3">
      <c r="A299" s="1" t="s">
        <v>13</v>
      </c>
      <c r="B299">
        <v>15</v>
      </c>
      <c r="C299" t="str" cm="1">
        <f t="array" ref="C299">_xlfn.IFS(
    Dataset[[#This Row],[Age]]&lt;=10, "0-10",
    AND(Dataset[[#This Row],[Age]]&gt;10, Dataset[[#This Row],[Age]]&lt;=18), "11-18",
    AND(Dataset[[#This Row],[Age]]&gt;18, Dataset[[#This Row],[Age]]&lt;=30), "19-30",
    AND(Dataset[[#This Row],[Age]]&gt;30, Dataset[[#This Row],[Age]]&lt;=60), "31-60",
    Dataset[[#This Row],[Age]]&gt;60, "above 60"
)</f>
        <v>11-18</v>
      </c>
      <c r="D299">
        <v>0</v>
      </c>
      <c r="E299">
        <v>0</v>
      </c>
      <c r="F299">
        <v>0</v>
      </c>
      <c r="G29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299" s="1" t="s">
        <v>42</v>
      </c>
      <c r="I299" s="1" t="s">
        <v>15</v>
      </c>
      <c r="J299" s="1" t="s">
        <v>12</v>
      </c>
      <c r="K299">
        <v>0</v>
      </c>
    </row>
    <row r="300" spans="1:11" x14ac:dyDescent="0.3">
      <c r="A300" s="1" t="s">
        <v>13</v>
      </c>
      <c r="B300">
        <v>11</v>
      </c>
      <c r="C300" t="str" cm="1">
        <f t="array" ref="C300">_xlfn.IFS(
    Dataset[[#This Row],[Age]]&lt;=10, "0-10",
    AND(Dataset[[#This Row],[Age]]&gt;10, Dataset[[#This Row],[Age]]&lt;=18), "11-18",
    AND(Dataset[[#This Row],[Age]]&gt;18, Dataset[[#This Row],[Age]]&lt;=30), "19-30",
    AND(Dataset[[#This Row],[Age]]&gt;30, Dataset[[#This Row],[Age]]&lt;=60), "31-60",
    Dataset[[#This Row],[Age]]&gt;60, "above 60"
)</f>
        <v>11-18</v>
      </c>
      <c r="D300">
        <v>1</v>
      </c>
      <c r="E300">
        <v>1</v>
      </c>
      <c r="F300">
        <v>0</v>
      </c>
      <c r="G30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00" s="1" t="s">
        <v>48</v>
      </c>
      <c r="I300" s="1" t="s">
        <v>11</v>
      </c>
      <c r="J300" s="1" t="s">
        <v>22</v>
      </c>
      <c r="K300">
        <v>1</v>
      </c>
    </row>
    <row r="301" spans="1:11" x14ac:dyDescent="0.3">
      <c r="A301" s="1" t="s">
        <v>9</v>
      </c>
      <c r="B301">
        <v>46</v>
      </c>
      <c r="C301" t="str" cm="1">
        <f t="array" ref="C301">_xlfn.IFS(
    Dataset[[#This Row],[Age]]&lt;=10, "0-10",
    AND(Dataset[[#This Row],[Age]]&gt;10, Dataset[[#This Row],[Age]]&lt;=18), "11-18",
    AND(Dataset[[#This Row],[Age]]&gt;18, Dataset[[#This Row],[Age]]&lt;=30), "19-30",
    AND(Dataset[[#This Row],[Age]]&gt;30, Dataset[[#This Row],[Age]]&lt;=60), "31-60",
    Dataset[[#This Row],[Age]]&gt;60, "above 60"
)</f>
        <v>31-60</v>
      </c>
      <c r="D301">
        <v>1</v>
      </c>
      <c r="E301">
        <v>1</v>
      </c>
      <c r="F301">
        <v>0</v>
      </c>
      <c r="G30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01" s="1" t="s">
        <v>30</v>
      </c>
      <c r="I301" s="1" t="s">
        <v>15</v>
      </c>
      <c r="J301" s="1" t="s">
        <v>12</v>
      </c>
      <c r="K301">
        <v>1</v>
      </c>
    </row>
    <row r="302" spans="1:11" x14ac:dyDescent="0.3">
      <c r="A302" s="1" t="s">
        <v>9</v>
      </c>
      <c r="B302">
        <v>52</v>
      </c>
      <c r="C302" t="str" cm="1">
        <f t="array" ref="C302">_xlfn.IFS(
    Dataset[[#This Row],[Age]]&lt;=10, "0-10",
    AND(Dataset[[#This Row],[Age]]&gt;10, Dataset[[#This Row],[Age]]&lt;=18), "11-18",
    AND(Dataset[[#This Row],[Age]]&gt;18, Dataset[[#This Row],[Age]]&lt;=30), "19-30",
    AND(Dataset[[#This Row],[Age]]&gt;30, Dataset[[#This Row],[Age]]&lt;=60), "31-60",
    Dataset[[#This Row],[Age]]&gt;60, "above 60"
)</f>
        <v>31-60</v>
      </c>
      <c r="D302">
        <v>1</v>
      </c>
      <c r="E302">
        <v>1</v>
      </c>
      <c r="F302">
        <v>0</v>
      </c>
      <c r="G30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02" s="1" t="s">
        <v>37</v>
      </c>
      <c r="I302" s="1" t="s">
        <v>11</v>
      </c>
      <c r="J302" s="1" t="s">
        <v>22</v>
      </c>
      <c r="K302">
        <v>1</v>
      </c>
    </row>
    <row r="303" spans="1:11" x14ac:dyDescent="0.3">
      <c r="A303" s="1" t="s">
        <v>13</v>
      </c>
      <c r="B303">
        <v>44</v>
      </c>
      <c r="C303" t="str" cm="1">
        <f t="array" ref="C303">_xlfn.IFS(
    Dataset[[#This Row],[Age]]&lt;=10, "0-10",
    AND(Dataset[[#This Row],[Age]]&gt;10, Dataset[[#This Row],[Age]]&lt;=18), "11-18",
    AND(Dataset[[#This Row],[Age]]&gt;18, Dataset[[#This Row],[Age]]&lt;=30), "19-30",
    AND(Dataset[[#This Row],[Age]]&gt;30, Dataset[[#This Row],[Age]]&lt;=60), "31-60",
    Dataset[[#This Row],[Age]]&gt;60, "above 60"
)</f>
        <v>31-60</v>
      </c>
      <c r="D303">
        <v>0</v>
      </c>
      <c r="E303">
        <v>0</v>
      </c>
      <c r="F303">
        <v>1</v>
      </c>
      <c r="G30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03" s="1" t="s">
        <v>40</v>
      </c>
      <c r="I303" s="1" t="s">
        <v>15</v>
      </c>
      <c r="J303" s="1" t="s">
        <v>22</v>
      </c>
      <c r="K303">
        <v>0</v>
      </c>
    </row>
    <row r="304" spans="1:11" x14ac:dyDescent="0.3">
      <c r="A304" s="1" t="s">
        <v>13</v>
      </c>
      <c r="B304">
        <v>12</v>
      </c>
      <c r="C304" t="str" cm="1">
        <f t="array" ref="C304">_xlfn.IFS(
    Dataset[[#This Row],[Age]]&lt;=10, "0-10",
    AND(Dataset[[#This Row],[Age]]&gt;10, Dataset[[#This Row],[Age]]&lt;=18), "11-18",
    AND(Dataset[[#This Row],[Age]]&gt;18, Dataset[[#This Row],[Age]]&lt;=30), "19-30",
    AND(Dataset[[#This Row],[Age]]&gt;30, Dataset[[#This Row],[Age]]&lt;=60), "31-60",
    Dataset[[#This Row],[Age]]&gt;60, "above 60"
)</f>
        <v>11-18</v>
      </c>
      <c r="D304">
        <v>0</v>
      </c>
      <c r="E304">
        <v>0</v>
      </c>
      <c r="F304">
        <v>1</v>
      </c>
      <c r="G30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04" s="1" t="s">
        <v>37</v>
      </c>
      <c r="I304" s="1" t="s">
        <v>11</v>
      </c>
      <c r="J304" s="1" t="s">
        <v>17</v>
      </c>
      <c r="K304">
        <v>0</v>
      </c>
    </row>
    <row r="305" spans="1:11" x14ac:dyDescent="0.3">
      <c r="A305" s="1" t="s">
        <v>9</v>
      </c>
      <c r="B305">
        <v>30</v>
      </c>
      <c r="C305" t="str" cm="1">
        <f t="array" ref="C305">_xlfn.IFS(
    Dataset[[#This Row],[Age]]&lt;=10, "0-10",
    AND(Dataset[[#This Row],[Age]]&gt;10, Dataset[[#This Row],[Age]]&lt;=18), "11-18",
    AND(Dataset[[#This Row],[Age]]&gt;18, Dataset[[#This Row],[Age]]&lt;=30), "19-30",
    AND(Dataset[[#This Row],[Age]]&gt;30, Dataset[[#This Row],[Age]]&lt;=60), "31-60",
    Dataset[[#This Row],[Age]]&gt;60, "above 60"
)</f>
        <v>19-30</v>
      </c>
      <c r="D305">
        <v>0</v>
      </c>
      <c r="E305">
        <v>0</v>
      </c>
      <c r="F305">
        <v>0</v>
      </c>
      <c r="G30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05" s="1" t="s">
        <v>20</v>
      </c>
      <c r="I305" s="1" t="s">
        <v>15</v>
      </c>
      <c r="J305" s="1" t="s">
        <v>12</v>
      </c>
      <c r="K305">
        <v>0</v>
      </c>
    </row>
    <row r="306" spans="1:11" x14ac:dyDescent="0.3">
      <c r="A306" s="1" t="s">
        <v>13</v>
      </c>
      <c r="B306">
        <v>41</v>
      </c>
      <c r="C306" t="str" cm="1">
        <f t="array" ref="C306">_xlfn.IFS(
    Dataset[[#This Row],[Age]]&lt;=10, "0-10",
    AND(Dataset[[#This Row],[Age]]&gt;10, Dataset[[#This Row],[Age]]&lt;=18), "11-18",
    AND(Dataset[[#This Row],[Age]]&gt;18, Dataset[[#This Row],[Age]]&lt;=30), "19-30",
    AND(Dataset[[#This Row],[Age]]&gt;30, Dataset[[#This Row],[Age]]&lt;=60), "31-60",
    Dataset[[#This Row],[Age]]&gt;60, "above 60"
)</f>
        <v>31-60</v>
      </c>
      <c r="D306">
        <v>0</v>
      </c>
      <c r="E306">
        <v>0</v>
      </c>
      <c r="F306">
        <v>0</v>
      </c>
      <c r="G30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06" s="1" t="s">
        <v>25</v>
      </c>
      <c r="I306" s="1" t="s">
        <v>11</v>
      </c>
      <c r="J306" s="1" t="s">
        <v>17</v>
      </c>
      <c r="K306">
        <v>0</v>
      </c>
    </row>
    <row r="307" spans="1:11" x14ac:dyDescent="0.3">
      <c r="A307" s="1" t="s">
        <v>13</v>
      </c>
      <c r="B307">
        <v>62</v>
      </c>
      <c r="C307" t="str" cm="1">
        <f t="array" ref="C307">_xlfn.IFS(
    Dataset[[#This Row],[Age]]&lt;=10, "0-10",
    AND(Dataset[[#This Row],[Age]]&gt;10, Dataset[[#This Row],[Age]]&lt;=18), "11-18",
    AND(Dataset[[#This Row],[Age]]&gt;18, Dataset[[#This Row],[Age]]&lt;=30), "19-30",
    AND(Dataset[[#This Row],[Age]]&gt;30, Dataset[[#This Row],[Age]]&lt;=60), "31-60",
    Dataset[[#This Row],[Age]]&gt;60, "above 60"
)</f>
        <v>above 60</v>
      </c>
      <c r="D307">
        <v>1</v>
      </c>
      <c r="E307">
        <v>1</v>
      </c>
      <c r="F307">
        <v>0</v>
      </c>
      <c r="G30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07" s="1" t="s">
        <v>20</v>
      </c>
      <c r="I307" s="1" t="s">
        <v>15</v>
      </c>
      <c r="J307" s="1" t="s">
        <v>22</v>
      </c>
      <c r="K307">
        <v>1</v>
      </c>
    </row>
    <row r="308" spans="1:11" x14ac:dyDescent="0.3">
      <c r="A308" s="1" t="s">
        <v>13</v>
      </c>
      <c r="B308">
        <v>42</v>
      </c>
      <c r="C308" t="str" cm="1">
        <f t="array" ref="C308">_xlfn.IFS(
    Dataset[[#This Row],[Age]]&lt;=10, "0-10",
    AND(Dataset[[#This Row],[Age]]&gt;10, Dataset[[#This Row],[Age]]&lt;=18), "11-18",
    AND(Dataset[[#This Row],[Age]]&gt;18, Dataset[[#This Row],[Age]]&lt;=30), "19-30",
    AND(Dataset[[#This Row],[Age]]&gt;30, Dataset[[#This Row],[Age]]&lt;=60), "31-60",
    Dataset[[#This Row],[Age]]&gt;60, "above 60"
)</f>
        <v>31-60</v>
      </c>
      <c r="D308">
        <v>1</v>
      </c>
      <c r="E308">
        <v>1</v>
      </c>
      <c r="F308">
        <v>0</v>
      </c>
      <c r="G30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08" s="1" t="s">
        <v>44</v>
      </c>
      <c r="I308" s="1" t="s">
        <v>11</v>
      </c>
      <c r="J308" s="1" t="s">
        <v>17</v>
      </c>
      <c r="K308">
        <v>1</v>
      </c>
    </row>
    <row r="309" spans="1:11" x14ac:dyDescent="0.3">
      <c r="A309" s="1" t="s">
        <v>9</v>
      </c>
      <c r="B309">
        <v>38</v>
      </c>
      <c r="C309" t="str" cm="1">
        <f t="array" ref="C309">_xlfn.IFS(
    Dataset[[#This Row],[Age]]&lt;=10, "0-10",
    AND(Dataset[[#This Row],[Age]]&gt;10, Dataset[[#This Row],[Age]]&lt;=18), "11-18",
    AND(Dataset[[#This Row],[Age]]&gt;18, Dataset[[#This Row],[Age]]&lt;=30), "19-30",
    AND(Dataset[[#This Row],[Age]]&gt;30, Dataset[[#This Row],[Age]]&lt;=60), "31-60",
    Dataset[[#This Row],[Age]]&gt;60, "above 60"
)</f>
        <v>31-60</v>
      </c>
      <c r="D309">
        <v>1</v>
      </c>
      <c r="E309">
        <v>1</v>
      </c>
      <c r="F309">
        <v>0</v>
      </c>
      <c r="G30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09" s="1" t="s">
        <v>20</v>
      </c>
      <c r="I309" s="1" t="s">
        <v>15</v>
      </c>
      <c r="J309" s="1" t="s">
        <v>12</v>
      </c>
      <c r="K309">
        <v>1</v>
      </c>
    </row>
    <row r="310" spans="1:11" x14ac:dyDescent="0.3">
      <c r="A310" s="1" t="s">
        <v>13</v>
      </c>
      <c r="B310">
        <v>46</v>
      </c>
      <c r="C310" t="str" cm="1">
        <f t="array" ref="C310">_xlfn.IFS(
    Dataset[[#This Row],[Age]]&lt;=10, "0-10",
    AND(Dataset[[#This Row],[Age]]&gt;10, Dataset[[#This Row],[Age]]&lt;=18), "11-18",
    AND(Dataset[[#This Row],[Age]]&gt;18, Dataset[[#This Row],[Age]]&lt;=30), "19-30",
    AND(Dataset[[#This Row],[Age]]&gt;30, Dataset[[#This Row],[Age]]&lt;=60), "31-60",
    Dataset[[#This Row],[Age]]&gt;60, "above 60"
)</f>
        <v>31-60</v>
      </c>
      <c r="D310">
        <v>0</v>
      </c>
      <c r="E310">
        <v>0</v>
      </c>
      <c r="F310">
        <v>0</v>
      </c>
      <c r="G31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10" s="1" t="s">
        <v>45</v>
      </c>
      <c r="I310" s="1" t="s">
        <v>11</v>
      </c>
      <c r="J310" s="1" t="s">
        <v>22</v>
      </c>
      <c r="K310">
        <v>0</v>
      </c>
    </row>
    <row r="311" spans="1:11" x14ac:dyDescent="0.3">
      <c r="A311" s="1" t="s">
        <v>13</v>
      </c>
      <c r="B311">
        <v>44</v>
      </c>
      <c r="C311" t="str" cm="1">
        <f t="array" ref="C311">_xlfn.IFS(
    Dataset[[#This Row],[Age]]&lt;=10, "0-10",
    AND(Dataset[[#This Row],[Age]]&gt;10, Dataset[[#This Row],[Age]]&lt;=18), "11-18",
    AND(Dataset[[#This Row],[Age]]&gt;18, Dataset[[#This Row],[Age]]&lt;=30), "19-30",
    AND(Dataset[[#This Row],[Age]]&gt;30, Dataset[[#This Row],[Age]]&lt;=60), "31-60",
    Dataset[[#This Row],[Age]]&gt;60, "above 60"
)</f>
        <v>31-60</v>
      </c>
      <c r="D311">
        <v>0</v>
      </c>
      <c r="E311">
        <v>0</v>
      </c>
      <c r="F311">
        <v>0</v>
      </c>
      <c r="G31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11" s="1" t="s">
        <v>42</v>
      </c>
      <c r="I311" s="1" t="s">
        <v>15</v>
      </c>
      <c r="J311" s="1" t="s">
        <v>17</v>
      </c>
      <c r="K311">
        <v>0</v>
      </c>
    </row>
    <row r="312" spans="1:11" x14ac:dyDescent="0.3">
      <c r="A312" s="1" t="s">
        <v>9</v>
      </c>
      <c r="B312">
        <v>48</v>
      </c>
      <c r="C312" t="str" cm="1">
        <f t="array" ref="C312">_xlfn.IFS(
    Dataset[[#This Row],[Age]]&lt;=10, "0-10",
    AND(Dataset[[#This Row],[Age]]&gt;10, Dataset[[#This Row],[Age]]&lt;=18), "11-18",
    AND(Dataset[[#This Row],[Age]]&gt;18, Dataset[[#This Row],[Age]]&lt;=30), "19-30",
    AND(Dataset[[#This Row],[Age]]&gt;30, Dataset[[#This Row],[Age]]&lt;=60), "31-60",
    Dataset[[#This Row],[Age]]&gt;60, "above 60"
)</f>
        <v>31-60</v>
      </c>
      <c r="D312">
        <v>1</v>
      </c>
      <c r="E312">
        <v>1</v>
      </c>
      <c r="F312">
        <v>0</v>
      </c>
      <c r="G31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12" s="1" t="s">
        <v>26</v>
      </c>
      <c r="I312" s="1" t="s">
        <v>11</v>
      </c>
      <c r="J312" s="1" t="s">
        <v>17</v>
      </c>
      <c r="K312">
        <v>1</v>
      </c>
    </row>
    <row r="313" spans="1:11" x14ac:dyDescent="0.3">
      <c r="A313" s="1" t="s">
        <v>13</v>
      </c>
      <c r="B313">
        <v>42</v>
      </c>
      <c r="C313" t="str" cm="1">
        <f t="array" ref="C313">_xlfn.IFS(
    Dataset[[#This Row],[Age]]&lt;=10, "0-10",
    AND(Dataset[[#This Row],[Age]]&gt;10, Dataset[[#This Row],[Age]]&lt;=18), "11-18",
    AND(Dataset[[#This Row],[Age]]&gt;18, Dataset[[#This Row],[Age]]&lt;=30), "19-30",
    AND(Dataset[[#This Row],[Age]]&gt;30, Dataset[[#This Row],[Age]]&lt;=60), "31-60",
    Dataset[[#This Row],[Age]]&gt;60, "above 60"
)</f>
        <v>31-60</v>
      </c>
      <c r="D313">
        <v>0</v>
      </c>
      <c r="E313">
        <v>0</v>
      </c>
      <c r="F313">
        <v>1</v>
      </c>
      <c r="G31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13" s="1" t="s">
        <v>31</v>
      </c>
      <c r="I313" s="1" t="s">
        <v>15</v>
      </c>
      <c r="J313" s="1" t="s">
        <v>12</v>
      </c>
      <c r="K313">
        <v>0</v>
      </c>
    </row>
    <row r="314" spans="1:11" x14ac:dyDescent="0.3">
      <c r="A314" s="1" t="s">
        <v>13</v>
      </c>
      <c r="B314">
        <v>41</v>
      </c>
      <c r="C314" t="str" cm="1">
        <f t="array" ref="C314">_xlfn.IFS(
    Dataset[[#This Row],[Age]]&lt;=10, "0-10",
    AND(Dataset[[#This Row],[Age]]&gt;10, Dataset[[#This Row],[Age]]&lt;=18), "11-18",
    AND(Dataset[[#This Row],[Age]]&gt;18, Dataset[[#This Row],[Age]]&lt;=30), "19-30",
    AND(Dataset[[#This Row],[Age]]&gt;30, Dataset[[#This Row],[Age]]&lt;=60), "31-60",
    Dataset[[#This Row],[Age]]&gt;60, "above 60"
)</f>
        <v>31-60</v>
      </c>
      <c r="D314">
        <v>1</v>
      </c>
      <c r="E314">
        <v>1</v>
      </c>
      <c r="F314">
        <v>0</v>
      </c>
      <c r="G31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14" s="1" t="s">
        <v>10</v>
      </c>
      <c r="I314" s="1" t="s">
        <v>11</v>
      </c>
      <c r="J314" s="1" t="s">
        <v>22</v>
      </c>
      <c r="K314">
        <v>1</v>
      </c>
    </row>
    <row r="315" spans="1:11" x14ac:dyDescent="0.3">
      <c r="A315" s="1" t="s">
        <v>13</v>
      </c>
      <c r="B315">
        <v>15</v>
      </c>
      <c r="C315" t="str" cm="1">
        <f t="array" ref="C315">_xlfn.IFS(
    Dataset[[#This Row],[Age]]&lt;=10, "0-10",
    AND(Dataset[[#This Row],[Age]]&gt;10, Dataset[[#This Row],[Age]]&lt;=18), "11-18",
    AND(Dataset[[#This Row],[Age]]&gt;18, Dataset[[#This Row],[Age]]&lt;=30), "19-30",
    AND(Dataset[[#This Row],[Age]]&gt;30, Dataset[[#This Row],[Age]]&lt;=60), "31-60",
    Dataset[[#This Row],[Age]]&gt;60, "above 60"
)</f>
        <v>11-18</v>
      </c>
      <c r="D315">
        <v>0</v>
      </c>
      <c r="E315">
        <v>0</v>
      </c>
      <c r="F315">
        <v>0</v>
      </c>
      <c r="G31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15" s="1" t="s">
        <v>43</v>
      </c>
      <c r="I315" s="1" t="s">
        <v>15</v>
      </c>
      <c r="J315" s="1" t="s">
        <v>22</v>
      </c>
      <c r="K315">
        <v>0</v>
      </c>
    </row>
    <row r="316" spans="1:11" x14ac:dyDescent="0.3">
      <c r="A316" s="1" t="s">
        <v>13</v>
      </c>
      <c r="B316">
        <v>15</v>
      </c>
      <c r="C316" t="str" cm="1">
        <f t="array" ref="C316">_xlfn.IFS(
    Dataset[[#This Row],[Age]]&lt;=10, "0-10",
    AND(Dataset[[#This Row],[Age]]&gt;10, Dataset[[#This Row],[Age]]&lt;=18), "11-18",
    AND(Dataset[[#This Row],[Age]]&gt;18, Dataset[[#This Row],[Age]]&lt;=30), "19-30",
    AND(Dataset[[#This Row],[Age]]&gt;30, Dataset[[#This Row],[Age]]&lt;=60), "31-60",
    Dataset[[#This Row],[Age]]&gt;60, "above 60"
)</f>
        <v>11-18</v>
      </c>
      <c r="D316">
        <v>1</v>
      </c>
      <c r="E316">
        <v>1</v>
      </c>
      <c r="F316">
        <v>1</v>
      </c>
      <c r="G31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16" s="1" t="s">
        <v>30</v>
      </c>
      <c r="I316" s="1" t="s">
        <v>11</v>
      </c>
      <c r="J316" s="1" t="s">
        <v>17</v>
      </c>
      <c r="K316">
        <v>1</v>
      </c>
    </row>
    <row r="317" spans="1:11" x14ac:dyDescent="0.3">
      <c r="A317" s="1" t="s">
        <v>13</v>
      </c>
      <c r="B317">
        <v>64</v>
      </c>
      <c r="C317" t="str" cm="1">
        <f t="array" ref="C317">_xlfn.IFS(
    Dataset[[#This Row],[Age]]&lt;=10, "0-10",
    AND(Dataset[[#This Row],[Age]]&gt;10, Dataset[[#This Row],[Age]]&lt;=18), "11-18",
    AND(Dataset[[#This Row],[Age]]&gt;18, Dataset[[#This Row],[Age]]&lt;=30), "19-30",
    AND(Dataset[[#This Row],[Age]]&gt;30, Dataset[[#This Row],[Age]]&lt;=60), "31-60",
    Dataset[[#This Row],[Age]]&gt;60, "above 60"
)</f>
        <v>above 60</v>
      </c>
      <c r="D317">
        <v>0</v>
      </c>
      <c r="E317">
        <v>0</v>
      </c>
      <c r="F317">
        <v>1</v>
      </c>
      <c r="G31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17" s="1" t="s">
        <v>30</v>
      </c>
      <c r="I317" s="1" t="s">
        <v>15</v>
      </c>
      <c r="J317" s="1" t="s">
        <v>12</v>
      </c>
      <c r="K317">
        <v>0</v>
      </c>
    </row>
    <row r="318" spans="1:11" x14ac:dyDescent="0.3">
      <c r="A318" s="1" t="s">
        <v>13</v>
      </c>
      <c r="B318">
        <v>16</v>
      </c>
      <c r="C318" t="str" cm="1">
        <f t="array" ref="C318">_xlfn.IFS(
    Dataset[[#This Row],[Age]]&lt;=10, "0-10",
    AND(Dataset[[#This Row],[Age]]&gt;10, Dataset[[#This Row],[Age]]&lt;=18), "11-18",
    AND(Dataset[[#This Row],[Age]]&gt;18, Dataset[[#This Row],[Age]]&lt;=30), "19-30",
    AND(Dataset[[#This Row],[Age]]&gt;30, Dataset[[#This Row],[Age]]&lt;=60), "31-60",
    Dataset[[#This Row],[Age]]&gt;60, "above 60"
)</f>
        <v>11-18</v>
      </c>
      <c r="D318">
        <v>1</v>
      </c>
      <c r="E318">
        <v>1</v>
      </c>
      <c r="F318">
        <v>0</v>
      </c>
      <c r="G31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18" s="1" t="s">
        <v>49</v>
      </c>
      <c r="I318" s="1" t="s">
        <v>11</v>
      </c>
      <c r="J318" s="1" t="s">
        <v>12</v>
      </c>
      <c r="K318">
        <v>1</v>
      </c>
    </row>
    <row r="319" spans="1:11" x14ac:dyDescent="0.3">
      <c r="A319" s="1" t="s">
        <v>13</v>
      </c>
      <c r="B319">
        <v>19</v>
      </c>
      <c r="C319" t="str" cm="1">
        <f t="array" ref="C319">_xlfn.IFS(
    Dataset[[#This Row],[Age]]&lt;=10, "0-10",
    AND(Dataset[[#This Row],[Age]]&gt;10, Dataset[[#This Row],[Age]]&lt;=18), "11-18",
    AND(Dataset[[#This Row],[Age]]&gt;18, Dataset[[#This Row],[Age]]&lt;=30), "19-30",
    AND(Dataset[[#This Row],[Age]]&gt;30, Dataset[[#This Row],[Age]]&lt;=60), "31-60",
    Dataset[[#This Row],[Age]]&gt;60, "above 60"
)</f>
        <v>19-30</v>
      </c>
      <c r="D319">
        <v>1</v>
      </c>
      <c r="E319">
        <v>1</v>
      </c>
      <c r="F319">
        <v>0</v>
      </c>
      <c r="G31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19" s="1" t="s">
        <v>33</v>
      </c>
      <c r="I319" s="1" t="s">
        <v>15</v>
      </c>
      <c r="J319" s="1" t="s">
        <v>12</v>
      </c>
      <c r="K319">
        <v>1</v>
      </c>
    </row>
    <row r="320" spans="1:11" x14ac:dyDescent="0.3">
      <c r="A320" s="1" t="s">
        <v>13</v>
      </c>
      <c r="B320">
        <v>56</v>
      </c>
      <c r="C320" t="str" cm="1">
        <f t="array" ref="C320">_xlfn.IFS(
    Dataset[[#This Row],[Age]]&lt;=10, "0-10",
    AND(Dataset[[#This Row],[Age]]&gt;10, Dataset[[#This Row],[Age]]&lt;=18), "11-18",
    AND(Dataset[[#This Row],[Age]]&gt;18, Dataset[[#This Row],[Age]]&lt;=30), "19-30",
    AND(Dataset[[#This Row],[Age]]&gt;30, Dataset[[#This Row],[Age]]&lt;=60), "31-60",
    Dataset[[#This Row],[Age]]&gt;60, "above 60"
)</f>
        <v>31-60</v>
      </c>
      <c r="D320">
        <v>0</v>
      </c>
      <c r="E320">
        <v>0</v>
      </c>
      <c r="F320">
        <v>0</v>
      </c>
      <c r="G32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20" s="1" t="s">
        <v>50</v>
      </c>
      <c r="I320" s="1" t="s">
        <v>11</v>
      </c>
      <c r="J320" s="1" t="s">
        <v>12</v>
      </c>
      <c r="K320">
        <v>0</v>
      </c>
    </row>
    <row r="321" spans="1:11" x14ac:dyDescent="0.3">
      <c r="A321" s="1" t="s">
        <v>9</v>
      </c>
      <c r="B321">
        <v>65</v>
      </c>
      <c r="C321" t="str" cm="1">
        <f t="array" ref="C321">_xlfn.IFS(
    Dataset[[#This Row],[Age]]&lt;=10, "0-10",
    AND(Dataset[[#This Row],[Age]]&gt;10, Dataset[[#This Row],[Age]]&lt;=18), "11-18",
    AND(Dataset[[#This Row],[Age]]&gt;18, Dataset[[#This Row],[Age]]&lt;=30), "19-30",
    AND(Dataset[[#This Row],[Age]]&gt;30, Dataset[[#This Row],[Age]]&lt;=60), "31-60",
    Dataset[[#This Row],[Age]]&gt;60, "above 60"
)</f>
        <v>above 60</v>
      </c>
      <c r="D321">
        <v>1</v>
      </c>
      <c r="E321">
        <v>1</v>
      </c>
      <c r="F321">
        <v>1</v>
      </c>
      <c r="G32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21" s="1" t="s">
        <v>42</v>
      </c>
      <c r="I321" s="1" t="s">
        <v>15</v>
      </c>
      <c r="J321" s="1" t="s">
        <v>22</v>
      </c>
      <c r="K321">
        <v>1</v>
      </c>
    </row>
    <row r="322" spans="1:11" x14ac:dyDescent="0.3">
      <c r="A322" s="1" t="s">
        <v>13</v>
      </c>
      <c r="B322">
        <v>57</v>
      </c>
      <c r="C322" t="str" cm="1">
        <f t="array" ref="C322">_xlfn.IFS(
    Dataset[[#This Row],[Age]]&lt;=10, "0-10",
    AND(Dataset[[#This Row],[Age]]&gt;10, Dataset[[#This Row],[Age]]&lt;=18), "11-18",
    AND(Dataset[[#This Row],[Age]]&gt;18, Dataset[[#This Row],[Age]]&lt;=30), "19-30",
    AND(Dataset[[#This Row],[Age]]&gt;30, Dataset[[#This Row],[Age]]&lt;=60), "31-60",
    Dataset[[#This Row],[Age]]&gt;60, "above 60"
)</f>
        <v>31-60</v>
      </c>
      <c r="D322">
        <v>1</v>
      </c>
      <c r="E322">
        <v>1</v>
      </c>
      <c r="F322">
        <v>1</v>
      </c>
      <c r="G32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22" s="1" t="s">
        <v>50</v>
      </c>
      <c r="I322" s="1" t="s">
        <v>11</v>
      </c>
      <c r="J322" s="1" t="s">
        <v>22</v>
      </c>
      <c r="K322">
        <v>1</v>
      </c>
    </row>
    <row r="323" spans="1:11" x14ac:dyDescent="0.3">
      <c r="A323" s="1" t="s">
        <v>13</v>
      </c>
      <c r="B323">
        <v>24</v>
      </c>
      <c r="C323" t="str" cm="1">
        <f t="array" ref="C323">_xlfn.IFS(
    Dataset[[#This Row],[Age]]&lt;=10, "0-10",
    AND(Dataset[[#This Row],[Age]]&gt;10, Dataset[[#This Row],[Age]]&lt;=18), "11-18",
    AND(Dataset[[#This Row],[Age]]&gt;18, Dataset[[#This Row],[Age]]&lt;=30), "19-30",
    AND(Dataset[[#This Row],[Age]]&gt;30, Dataset[[#This Row],[Age]]&lt;=60), "31-60",
    Dataset[[#This Row],[Age]]&gt;60, "above 60"
)</f>
        <v>19-30</v>
      </c>
      <c r="D323">
        <v>0</v>
      </c>
      <c r="E323">
        <v>0</v>
      </c>
      <c r="F323">
        <v>0</v>
      </c>
      <c r="G32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23" s="1" t="s">
        <v>19</v>
      </c>
      <c r="I323" s="1" t="s">
        <v>15</v>
      </c>
      <c r="J323" s="1" t="s">
        <v>22</v>
      </c>
      <c r="K323">
        <v>0</v>
      </c>
    </row>
    <row r="324" spans="1:11" x14ac:dyDescent="0.3">
      <c r="A324" s="1" t="s">
        <v>13</v>
      </c>
      <c r="B324">
        <v>38</v>
      </c>
      <c r="C324" t="str" cm="1">
        <f t="array" ref="C324">_xlfn.IFS(
    Dataset[[#This Row],[Age]]&lt;=10, "0-10",
    AND(Dataset[[#This Row],[Age]]&gt;10, Dataset[[#This Row],[Age]]&lt;=18), "11-18",
    AND(Dataset[[#This Row],[Age]]&gt;18, Dataset[[#This Row],[Age]]&lt;=30), "19-30",
    AND(Dataset[[#This Row],[Age]]&gt;30, Dataset[[#This Row],[Age]]&lt;=60), "31-60",
    Dataset[[#This Row],[Age]]&gt;60, "above 60"
)</f>
        <v>31-60</v>
      </c>
      <c r="D324">
        <v>0</v>
      </c>
      <c r="E324">
        <v>0</v>
      </c>
      <c r="F324">
        <v>1</v>
      </c>
      <c r="G32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24" s="1" t="s">
        <v>50</v>
      </c>
      <c r="I324" s="1" t="s">
        <v>11</v>
      </c>
      <c r="J324" s="1" t="s">
        <v>17</v>
      </c>
      <c r="K324">
        <v>0</v>
      </c>
    </row>
    <row r="325" spans="1:11" x14ac:dyDescent="0.3">
      <c r="A325" s="1" t="s">
        <v>9</v>
      </c>
      <c r="B325">
        <v>39</v>
      </c>
      <c r="C325" t="str" cm="1">
        <f t="array" ref="C325">_xlfn.IFS(
    Dataset[[#This Row],[Age]]&lt;=10, "0-10",
    AND(Dataset[[#This Row],[Age]]&gt;10, Dataset[[#This Row],[Age]]&lt;=18), "11-18",
    AND(Dataset[[#This Row],[Age]]&gt;18, Dataset[[#This Row],[Age]]&lt;=30), "19-30",
    AND(Dataset[[#This Row],[Age]]&gt;30, Dataset[[#This Row],[Age]]&lt;=60), "31-60",
    Dataset[[#This Row],[Age]]&gt;60, "above 60"
)</f>
        <v>31-60</v>
      </c>
      <c r="D325">
        <v>0</v>
      </c>
      <c r="E325">
        <v>0</v>
      </c>
      <c r="F325">
        <v>1</v>
      </c>
      <c r="G32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25" s="1" t="s">
        <v>28</v>
      </c>
      <c r="I325" s="1" t="s">
        <v>15</v>
      </c>
      <c r="J325" s="1" t="s">
        <v>22</v>
      </c>
      <c r="K325">
        <v>0</v>
      </c>
    </row>
    <row r="326" spans="1:11" x14ac:dyDescent="0.3">
      <c r="A326" s="1" t="s">
        <v>9</v>
      </c>
      <c r="B326">
        <v>64</v>
      </c>
      <c r="C326" t="str" cm="1">
        <f t="array" ref="C326">_xlfn.IFS(
    Dataset[[#This Row],[Age]]&lt;=10, "0-10",
    AND(Dataset[[#This Row],[Age]]&gt;10, Dataset[[#This Row],[Age]]&lt;=18), "11-18",
    AND(Dataset[[#This Row],[Age]]&gt;18, Dataset[[#This Row],[Age]]&lt;=30), "19-30",
    AND(Dataset[[#This Row],[Age]]&gt;30, Dataset[[#This Row],[Age]]&lt;=60), "31-60",
    Dataset[[#This Row],[Age]]&gt;60, "above 60"
)</f>
        <v>above 60</v>
      </c>
      <c r="D326">
        <v>0</v>
      </c>
      <c r="E326">
        <v>0</v>
      </c>
      <c r="F326">
        <v>0</v>
      </c>
      <c r="G32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26" s="1" t="s">
        <v>43</v>
      </c>
      <c r="I326" s="1" t="s">
        <v>11</v>
      </c>
      <c r="J326" s="1" t="s">
        <v>22</v>
      </c>
      <c r="K326">
        <v>0</v>
      </c>
    </row>
    <row r="327" spans="1:11" x14ac:dyDescent="0.3">
      <c r="A327" s="1" t="s">
        <v>13</v>
      </c>
      <c r="B327">
        <v>39</v>
      </c>
      <c r="C327" t="str" cm="1">
        <f t="array" ref="C327">_xlfn.IFS(
    Dataset[[#This Row],[Age]]&lt;=10, "0-10",
    AND(Dataset[[#This Row],[Age]]&gt;10, Dataset[[#This Row],[Age]]&lt;=18), "11-18",
    AND(Dataset[[#This Row],[Age]]&gt;18, Dataset[[#This Row],[Age]]&lt;=30), "19-30",
    AND(Dataset[[#This Row],[Age]]&gt;30, Dataset[[#This Row],[Age]]&lt;=60), "31-60",
    Dataset[[#This Row],[Age]]&gt;60, "above 60"
)</f>
        <v>31-60</v>
      </c>
      <c r="D327">
        <v>1</v>
      </c>
      <c r="E327">
        <v>1</v>
      </c>
      <c r="F327">
        <v>1</v>
      </c>
      <c r="G32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27" s="1" t="s">
        <v>18</v>
      </c>
      <c r="I327" s="1" t="s">
        <v>15</v>
      </c>
      <c r="J327" s="1" t="s">
        <v>12</v>
      </c>
      <c r="K327">
        <v>1</v>
      </c>
    </row>
    <row r="328" spans="1:11" x14ac:dyDescent="0.3">
      <c r="A328" s="1" t="s">
        <v>13</v>
      </c>
      <c r="B328">
        <v>33</v>
      </c>
      <c r="C328" t="str" cm="1">
        <f t="array" ref="C328">_xlfn.IFS(
    Dataset[[#This Row],[Age]]&lt;=10, "0-10",
    AND(Dataset[[#This Row],[Age]]&gt;10, Dataset[[#This Row],[Age]]&lt;=18), "11-18",
    AND(Dataset[[#This Row],[Age]]&gt;18, Dataset[[#This Row],[Age]]&lt;=30), "19-30",
    AND(Dataset[[#This Row],[Age]]&gt;30, Dataset[[#This Row],[Age]]&lt;=60), "31-60",
    Dataset[[#This Row],[Age]]&gt;60, "above 60"
)</f>
        <v>31-60</v>
      </c>
      <c r="D328">
        <v>1</v>
      </c>
      <c r="E328">
        <v>1</v>
      </c>
      <c r="F328">
        <v>0</v>
      </c>
      <c r="G32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28" s="1" t="s">
        <v>32</v>
      </c>
      <c r="I328" s="1" t="s">
        <v>11</v>
      </c>
      <c r="J328" s="1" t="s">
        <v>17</v>
      </c>
      <c r="K328">
        <v>1</v>
      </c>
    </row>
    <row r="329" spans="1:11" x14ac:dyDescent="0.3">
      <c r="A329" s="1" t="s">
        <v>13</v>
      </c>
      <c r="B329">
        <v>49</v>
      </c>
      <c r="C329" t="str" cm="1">
        <f t="array" ref="C329">_xlfn.IFS(
    Dataset[[#This Row],[Age]]&lt;=10, "0-10",
    AND(Dataset[[#This Row],[Age]]&gt;10, Dataset[[#This Row],[Age]]&lt;=18), "11-18",
    AND(Dataset[[#This Row],[Age]]&gt;18, Dataset[[#This Row],[Age]]&lt;=30), "19-30",
    AND(Dataset[[#This Row],[Age]]&gt;30, Dataset[[#This Row],[Age]]&lt;=60), "31-60",
    Dataset[[#This Row],[Age]]&gt;60, "above 60"
)</f>
        <v>31-60</v>
      </c>
      <c r="D329">
        <v>1</v>
      </c>
      <c r="E329">
        <v>1</v>
      </c>
      <c r="F329">
        <v>0</v>
      </c>
      <c r="G32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29" s="1" t="s">
        <v>18</v>
      </c>
      <c r="I329" s="1" t="s">
        <v>15</v>
      </c>
      <c r="J329" s="1" t="s">
        <v>12</v>
      </c>
      <c r="K329">
        <v>1</v>
      </c>
    </row>
    <row r="330" spans="1:11" x14ac:dyDescent="0.3">
      <c r="A330" s="1" t="s">
        <v>9</v>
      </c>
      <c r="B330">
        <v>22</v>
      </c>
      <c r="C330" t="str" cm="1">
        <f t="array" ref="C330">_xlfn.IFS(
    Dataset[[#This Row],[Age]]&lt;=10, "0-10",
    AND(Dataset[[#This Row],[Age]]&gt;10, Dataset[[#This Row],[Age]]&lt;=18), "11-18",
    AND(Dataset[[#This Row],[Age]]&gt;18, Dataset[[#This Row],[Age]]&lt;=30), "19-30",
    AND(Dataset[[#This Row],[Age]]&gt;30, Dataset[[#This Row],[Age]]&lt;=60), "31-60",
    Dataset[[#This Row],[Age]]&gt;60, "above 60"
)</f>
        <v>19-30</v>
      </c>
      <c r="D330">
        <v>1</v>
      </c>
      <c r="E330">
        <v>1</v>
      </c>
      <c r="F330">
        <v>1</v>
      </c>
      <c r="G33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30" s="1" t="s">
        <v>37</v>
      </c>
      <c r="I330" s="1" t="s">
        <v>11</v>
      </c>
      <c r="J330" s="1" t="s">
        <v>22</v>
      </c>
      <c r="K330">
        <v>1</v>
      </c>
    </row>
    <row r="331" spans="1:11" x14ac:dyDescent="0.3">
      <c r="A331" s="1" t="s">
        <v>9</v>
      </c>
      <c r="B331">
        <v>29</v>
      </c>
      <c r="C331" t="str" cm="1">
        <f t="array" ref="C331">_xlfn.IFS(
    Dataset[[#This Row],[Age]]&lt;=10, "0-10",
    AND(Dataset[[#This Row],[Age]]&gt;10, Dataset[[#This Row],[Age]]&lt;=18), "11-18",
    AND(Dataset[[#This Row],[Age]]&gt;18, Dataset[[#This Row],[Age]]&lt;=30), "19-30",
    AND(Dataset[[#This Row],[Age]]&gt;30, Dataset[[#This Row],[Age]]&lt;=60), "31-60",
    Dataset[[#This Row],[Age]]&gt;60, "above 60"
)</f>
        <v>19-30</v>
      </c>
      <c r="D331">
        <v>0</v>
      </c>
      <c r="E331">
        <v>0</v>
      </c>
      <c r="F331">
        <v>0</v>
      </c>
      <c r="G33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31" s="1" t="s">
        <v>33</v>
      </c>
      <c r="I331" s="1" t="s">
        <v>15</v>
      </c>
      <c r="J331" s="1" t="s">
        <v>12</v>
      </c>
      <c r="K331">
        <v>0</v>
      </c>
    </row>
    <row r="332" spans="1:11" x14ac:dyDescent="0.3">
      <c r="A332" s="1" t="s">
        <v>9</v>
      </c>
      <c r="B332">
        <v>22</v>
      </c>
      <c r="C332" t="str" cm="1">
        <f t="array" ref="C332">_xlfn.IFS(
    Dataset[[#This Row],[Age]]&lt;=10, "0-10",
    AND(Dataset[[#This Row],[Age]]&gt;10, Dataset[[#This Row],[Age]]&lt;=18), "11-18",
    AND(Dataset[[#This Row],[Age]]&gt;18, Dataset[[#This Row],[Age]]&lt;=30), "19-30",
    AND(Dataset[[#This Row],[Age]]&gt;30, Dataset[[#This Row],[Age]]&lt;=60), "31-60",
    Dataset[[#This Row],[Age]]&gt;60, "above 60"
)</f>
        <v>19-30</v>
      </c>
      <c r="D332">
        <v>1</v>
      </c>
      <c r="E332">
        <v>1</v>
      </c>
      <c r="F332">
        <v>0</v>
      </c>
      <c r="G33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32" s="1" t="s">
        <v>24</v>
      </c>
      <c r="I332" s="1" t="s">
        <v>11</v>
      </c>
      <c r="J332" s="1" t="s">
        <v>12</v>
      </c>
      <c r="K332">
        <v>1</v>
      </c>
    </row>
    <row r="333" spans="1:11" x14ac:dyDescent="0.3">
      <c r="A333" s="1" t="s">
        <v>9</v>
      </c>
      <c r="B333">
        <v>13</v>
      </c>
      <c r="C333" t="str" cm="1">
        <f t="array" ref="C333">_xlfn.IFS(
    Dataset[[#This Row],[Age]]&lt;=10, "0-10",
    AND(Dataset[[#This Row],[Age]]&gt;10, Dataset[[#This Row],[Age]]&lt;=18), "11-18",
    AND(Dataset[[#This Row],[Age]]&gt;18, Dataset[[#This Row],[Age]]&lt;=30), "19-30",
    AND(Dataset[[#This Row],[Age]]&gt;30, Dataset[[#This Row],[Age]]&lt;=60), "31-60",
    Dataset[[#This Row],[Age]]&gt;60, "above 60"
)</f>
        <v>11-18</v>
      </c>
      <c r="D333">
        <v>1</v>
      </c>
      <c r="E333">
        <v>1</v>
      </c>
      <c r="F333">
        <v>0</v>
      </c>
      <c r="G33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33" s="1" t="s">
        <v>45</v>
      </c>
      <c r="I333" s="1" t="s">
        <v>15</v>
      </c>
      <c r="J333" s="1" t="s">
        <v>17</v>
      </c>
      <c r="K333">
        <v>1</v>
      </c>
    </row>
    <row r="334" spans="1:11" x14ac:dyDescent="0.3">
      <c r="A334" s="1" t="s">
        <v>9</v>
      </c>
      <c r="B334">
        <v>11</v>
      </c>
      <c r="C334" t="str" cm="1">
        <f t="array" ref="C334">_xlfn.IFS(
    Dataset[[#This Row],[Age]]&lt;=10, "0-10",
    AND(Dataset[[#This Row],[Age]]&gt;10, Dataset[[#This Row],[Age]]&lt;=18), "11-18",
    AND(Dataset[[#This Row],[Age]]&gt;18, Dataset[[#This Row],[Age]]&lt;=30), "19-30",
    AND(Dataset[[#This Row],[Age]]&gt;30, Dataset[[#This Row],[Age]]&lt;=60), "31-60",
    Dataset[[#This Row],[Age]]&gt;60, "above 60"
)</f>
        <v>11-18</v>
      </c>
      <c r="D334">
        <v>1</v>
      </c>
      <c r="E334">
        <v>1</v>
      </c>
      <c r="F334">
        <v>0</v>
      </c>
      <c r="G33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34" s="1" t="s">
        <v>48</v>
      </c>
      <c r="I334" s="1" t="s">
        <v>11</v>
      </c>
      <c r="J334" s="1" t="s">
        <v>12</v>
      </c>
      <c r="K334">
        <v>1</v>
      </c>
    </row>
    <row r="335" spans="1:11" x14ac:dyDescent="0.3">
      <c r="A335" s="1" t="s">
        <v>13</v>
      </c>
      <c r="B335">
        <v>41</v>
      </c>
      <c r="C335" t="str" cm="1">
        <f t="array" ref="C335">_xlfn.IFS(
    Dataset[[#This Row],[Age]]&lt;=10, "0-10",
    AND(Dataset[[#This Row],[Age]]&gt;10, Dataset[[#This Row],[Age]]&lt;=18), "11-18",
    AND(Dataset[[#This Row],[Age]]&gt;18, Dataset[[#This Row],[Age]]&lt;=30), "19-30",
    AND(Dataset[[#This Row],[Age]]&gt;30, Dataset[[#This Row],[Age]]&lt;=60), "31-60",
    Dataset[[#This Row],[Age]]&gt;60, "above 60"
)</f>
        <v>31-60</v>
      </c>
      <c r="D335">
        <v>1</v>
      </c>
      <c r="E335">
        <v>1</v>
      </c>
      <c r="F335">
        <v>1</v>
      </c>
      <c r="G33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35" s="1" t="s">
        <v>47</v>
      </c>
      <c r="I335" s="1" t="s">
        <v>15</v>
      </c>
      <c r="J335" s="1" t="s">
        <v>12</v>
      </c>
      <c r="K335">
        <v>1</v>
      </c>
    </row>
    <row r="336" spans="1:11" x14ac:dyDescent="0.3">
      <c r="A336" s="1" t="s">
        <v>13</v>
      </c>
      <c r="B336">
        <v>61</v>
      </c>
      <c r="C336" t="str" cm="1">
        <f t="array" ref="C336">_xlfn.IFS(
    Dataset[[#This Row],[Age]]&lt;=10, "0-10",
    AND(Dataset[[#This Row],[Age]]&gt;10, Dataset[[#This Row],[Age]]&lt;=18), "11-18",
    AND(Dataset[[#This Row],[Age]]&gt;18, Dataset[[#This Row],[Age]]&lt;=30), "19-30",
    AND(Dataset[[#This Row],[Age]]&gt;30, Dataset[[#This Row],[Age]]&lt;=60), "31-60",
    Dataset[[#This Row],[Age]]&gt;60, "above 60"
)</f>
        <v>above 60</v>
      </c>
      <c r="D336">
        <v>1</v>
      </c>
      <c r="E336">
        <v>1</v>
      </c>
      <c r="F336">
        <v>1</v>
      </c>
      <c r="G33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36" s="1" t="s">
        <v>39</v>
      </c>
      <c r="I336" s="1" t="s">
        <v>11</v>
      </c>
      <c r="J336" s="1" t="s">
        <v>17</v>
      </c>
      <c r="K336">
        <v>1</v>
      </c>
    </row>
    <row r="337" spans="1:11" x14ac:dyDescent="0.3">
      <c r="A337" s="1" t="s">
        <v>13</v>
      </c>
      <c r="B337">
        <v>60</v>
      </c>
      <c r="C337" t="str" cm="1">
        <f t="array" ref="C337">_xlfn.IFS(
    Dataset[[#This Row],[Age]]&lt;=10, "0-10",
    AND(Dataset[[#This Row],[Age]]&gt;10, Dataset[[#This Row],[Age]]&lt;=18), "11-18",
    AND(Dataset[[#This Row],[Age]]&gt;18, Dataset[[#This Row],[Age]]&lt;=30), "19-30",
    AND(Dataset[[#This Row],[Age]]&gt;30, Dataset[[#This Row],[Age]]&lt;=60), "31-60",
    Dataset[[#This Row],[Age]]&gt;60, "above 60"
)</f>
        <v>31-60</v>
      </c>
      <c r="D337">
        <v>0</v>
      </c>
      <c r="E337">
        <v>0</v>
      </c>
      <c r="F337">
        <v>1</v>
      </c>
      <c r="G33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37" s="1" t="s">
        <v>10</v>
      </c>
      <c r="I337" s="1" t="s">
        <v>15</v>
      </c>
      <c r="J337" s="1" t="s">
        <v>22</v>
      </c>
      <c r="K337">
        <v>0</v>
      </c>
    </row>
    <row r="338" spans="1:11" x14ac:dyDescent="0.3">
      <c r="A338" s="1" t="s">
        <v>9</v>
      </c>
      <c r="B338">
        <v>21</v>
      </c>
      <c r="C338" t="str" cm="1">
        <f t="array" ref="C338">_xlfn.IFS(
    Dataset[[#This Row],[Age]]&lt;=10, "0-10",
    AND(Dataset[[#This Row],[Age]]&gt;10, Dataset[[#This Row],[Age]]&lt;=18), "11-18",
    AND(Dataset[[#This Row],[Age]]&gt;18, Dataset[[#This Row],[Age]]&lt;=30), "19-30",
    AND(Dataset[[#This Row],[Age]]&gt;30, Dataset[[#This Row],[Age]]&lt;=60), "31-60",
    Dataset[[#This Row],[Age]]&gt;60, "above 60"
)</f>
        <v>19-30</v>
      </c>
      <c r="D338">
        <v>1</v>
      </c>
      <c r="E338">
        <v>1</v>
      </c>
      <c r="F338">
        <v>0</v>
      </c>
      <c r="G33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38" s="1" t="s">
        <v>10</v>
      </c>
      <c r="I338" s="1" t="s">
        <v>11</v>
      </c>
      <c r="J338" s="1" t="s">
        <v>12</v>
      </c>
      <c r="K338">
        <v>1</v>
      </c>
    </row>
    <row r="339" spans="1:11" x14ac:dyDescent="0.3">
      <c r="A339" s="1" t="s">
        <v>9</v>
      </c>
      <c r="B339">
        <v>25</v>
      </c>
      <c r="C339" t="str" cm="1">
        <f t="array" ref="C339">_xlfn.IFS(
    Dataset[[#This Row],[Age]]&lt;=10, "0-10",
    AND(Dataset[[#This Row],[Age]]&gt;10, Dataset[[#This Row],[Age]]&lt;=18), "11-18",
    AND(Dataset[[#This Row],[Age]]&gt;18, Dataset[[#This Row],[Age]]&lt;=30), "19-30",
    AND(Dataset[[#This Row],[Age]]&gt;30, Dataset[[#This Row],[Age]]&lt;=60), "31-60",
    Dataset[[#This Row],[Age]]&gt;60, "above 60"
)</f>
        <v>19-30</v>
      </c>
      <c r="D339">
        <v>1</v>
      </c>
      <c r="E339">
        <v>1</v>
      </c>
      <c r="F339">
        <v>1</v>
      </c>
      <c r="G33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39" s="1" t="s">
        <v>33</v>
      </c>
      <c r="I339" s="1" t="s">
        <v>15</v>
      </c>
      <c r="J339" s="1" t="s">
        <v>22</v>
      </c>
      <c r="K339">
        <v>1</v>
      </c>
    </row>
    <row r="340" spans="1:11" x14ac:dyDescent="0.3">
      <c r="A340" s="1" t="s">
        <v>9</v>
      </c>
      <c r="B340">
        <v>57</v>
      </c>
      <c r="C340" t="str" cm="1">
        <f t="array" ref="C340">_xlfn.IFS(
    Dataset[[#This Row],[Age]]&lt;=10, "0-10",
    AND(Dataset[[#This Row],[Age]]&gt;10, Dataset[[#This Row],[Age]]&lt;=18), "11-18",
    AND(Dataset[[#This Row],[Age]]&gt;18, Dataset[[#This Row],[Age]]&lt;=30), "19-30",
    AND(Dataset[[#This Row],[Age]]&gt;30, Dataset[[#This Row],[Age]]&lt;=60), "31-60",
    Dataset[[#This Row],[Age]]&gt;60, "above 60"
)</f>
        <v>31-60</v>
      </c>
      <c r="D340">
        <v>1</v>
      </c>
      <c r="E340">
        <v>1</v>
      </c>
      <c r="F340">
        <v>0</v>
      </c>
      <c r="G34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40" s="1" t="s">
        <v>41</v>
      </c>
      <c r="I340" s="1" t="s">
        <v>11</v>
      </c>
      <c r="J340" s="1" t="s">
        <v>22</v>
      </c>
      <c r="K340">
        <v>1</v>
      </c>
    </row>
    <row r="341" spans="1:11" x14ac:dyDescent="0.3">
      <c r="A341" s="1" t="s">
        <v>13</v>
      </c>
      <c r="B341">
        <v>22</v>
      </c>
      <c r="C341" t="str" cm="1">
        <f t="array" ref="C341">_xlfn.IFS(
    Dataset[[#This Row],[Age]]&lt;=10, "0-10",
    AND(Dataset[[#This Row],[Age]]&gt;10, Dataset[[#This Row],[Age]]&lt;=18), "11-18",
    AND(Dataset[[#This Row],[Age]]&gt;18, Dataset[[#This Row],[Age]]&lt;=30), "19-30",
    AND(Dataset[[#This Row],[Age]]&gt;30, Dataset[[#This Row],[Age]]&lt;=60), "31-60",
    Dataset[[#This Row],[Age]]&gt;60, "above 60"
)</f>
        <v>19-30</v>
      </c>
      <c r="D341">
        <v>1</v>
      </c>
      <c r="E341">
        <v>1</v>
      </c>
      <c r="F341">
        <v>1</v>
      </c>
      <c r="G34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41" s="1" t="s">
        <v>20</v>
      </c>
      <c r="I341" s="1" t="s">
        <v>15</v>
      </c>
      <c r="J341" s="1" t="s">
        <v>12</v>
      </c>
      <c r="K341">
        <v>1</v>
      </c>
    </row>
    <row r="342" spans="1:11" x14ac:dyDescent="0.3">
      <c r="A342" s="1" t="s">
        <v>13</v>
      </c>
      <c r="B342">
        <v>9</v>
      </c>
      <c r="C342" t="str" cm="1">
        <f t="array" ref="C342">_xlfn.IFS(
    Dataset[[#This Row],[Age]]&lt;=10, "0-10",
    AND(Dataset[[#This Row],[Age]]&gt;10, Dataset[[#This Row],[Age]]&lt;=18), "11-18",
    AND(Dataset[[#This Row],[Age]]&gt;18, Dataset[[#This Row],[Age]]&lt;=30), "19-30",
    AND(Dataset[[#This Row],[Age]]&gt;30, Dataset[[#This Row],[Age]]&lt;=60), "31-60",
    Dataset[[#This Row],[Age]]&gt;60, "above 60"
)</f>
        <v>0-10</v>
      </c>
      <c r="D342">
        <v>1</v>
      </c>
      <c r="E342">
        <v>1</v>
      </c>
      <c r="F342">
        <v>0</v>
      </c>
      <c r="G34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42" s="1" t="s">
        <v>26</v>
      </c>
      <c r="I342" s="1" t="s">
        <v>11</v>
      </c>
      <c r="J342" s="1" t="s">
        <v>17</v>
      </c>
      <c r="K342">
        <v>1</v>
      </c>
    </row>
    <row r="343" spans="1:11" x14ac:dyDescent="0.3">
      <c r="A343" s="1" t="s">
        <v>13</v>
      </c>
      <c r="B343">
        <v>56</v>
      </c>
      <c r="C343" t="str" cm="1">
        <f t="array" ref="C343">_xlfn.IFS(
    Dataset[[#This Row],[Age]]&lt;=10, "0-10",
    AND(Dataset[[#This Row],[Age]]&gt;10, Dataset[[#This Row],[Age]]&lt;=18), "11-18",
    AND(Dataset[[#This Row],[Age]]&gt;18, Dataset[[#This Row],[Age]]&lt;=30), "19-30",
    AND(Dataset[[#This Row],[Age]]&gt;30, Dataset[[#This Row],[Age]]&lt;=60), "31-60",
    Dataset[[#This Row],[Age]]&gt;60, "above 60"
)</f>
        <v>31-60</v>
      </c>
      <c r="D343">
        <v>0</v>
      </c>
      <c r="E343">
        <v>0</v>
      </c>
      <c r="F343">
        <v>1</v>
      </c>
      <c r="G34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43" s="1" t="s">
        <v>48</v>
      </c>
      <c r="I343" s="1" t="s">
        <v>15</v>
      </c>
      <c r="J343" s="1" t="s">
        <v>17</v>
      </c>
      <c r="K343">
        <v>0</v>
      </c>
    </row>
    <row r="344" spans="1:11" x14ac:dyDescent="0.3">
      <c r="A344" s="1" t="s">
        <v>9</v>
      </c>
      <c r="B344">
        <v>44</v>
      </c>
      <c r="C344" t="str" cm="1">
        <f t="array" ref="C344">_xlfn.IFS(
    Dataset[[#This Row],[Age]]&lt;=10, "0-10",
    AND(Dataset[[#This Row],[Age]]&gt;10, Dataset[[#This Row],[Age]]&lt;=18), "11-18",
    AND(Dataset[[#This Row],[Age]]&gt;18, Dataset[[#This Row],[Age]]&lt;=30), "19-30",
    AND(Dataset[[#This Row],[Age]]&gt;30, Dataset[[#This Row],[Age]]&lt;=60), "31-60",
    Dataset[[#This Row],[Age]]&gt;60, "above 60"
)</f>
        <v>31-60</v>
      </c>
      <c r="D344">
        <v>1</v>
      </c>
      <c r="E344">
        <v>1</v>
      </c>
      <c r="F344">
        <v>0</v>
      </c>
      <c r="G34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44" s="1" t="s">
        <v>45</v>
      </c>
      <c r="I344" s="1" t="s">
        <v>11</v>
      </c>
      <c r="J344" s="1" t="s">
        <v>12</v>
      </c>
      <c r="K344">
        <v>1</v>
      </c>
    </row>
    <row r="345" spans="1:11" x14ac:dyDescent="0.3">
      <c r="A345" s="1" t="s">
        <v>9</v>
      </c>
      <c r="B345">
        <v>59</v>
      </c>
      <c r="C345" t="str" cm="1">
        <f t="array" ref="C345">_xlfn.IFS(
    Dataset[[#This Row],[Age]]&lt;=10, "0-10",
    AND(Dataset[[#This Row],[Age]]&gt;10, Dataset[[#This Row],[Age]]&lt;=18), "11-18",
    AND(Dataset[[#This Row],[Age]]&gt;18, Dataset[[#This Row],[Age]]&lt;=30), "19-30",
    AND(Dataset[[#This Row],[Age]]&gt;30, Dataset[[#This Row],[Age]]&lt;=60), "31-60",
    Dataset[[#This Row],[Age]]&gt;60, "above 60"
)</f>
        <v>31-60</v>
      </c>
      <c r="D345">
        <v>1</v>
      </c>
      <c r="E345">
        <v>1</v>
      </c>
      <c r="F345">
        <v>0</v>
      </c>
      <c r="G34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45" s="1" t="s">
        <v>30</v>
      </c>
      <c r="I345" s="1" t="s">
        <v>15</v>
      </c>
      <c r="J345" s="1" t="s">
        <v>12</v>
      </c>
      <c r="K345">
        <v>1</v>
      </c>
    </row>
    <row r="346" spans="1:11" x14ac:dyDescent="0.3">
      <c r="A346" s="1" t="s">
        <v>9</v>
      </c>
      <c r="B346">
        <v>40</v>
      </c>
      <c r="C346" t="str" cm="1">
        <f t="array" ref="C346">_xlfn.IFS(
    Dataset[[#This Row],[Age]]&lt;=10, "0-10",
    AND(Dataset[[#This Row],[Age]]&gt;10, Dataset[[#This Row],[Age]]&lt;=18), "11-18",
    AND(Dataset[[#This Row],[Age]]&gt;18, Dataset[[#This Row],[Age]]&lt;=30), "19-30",
    AND(Dataset[[#This Row],[Age]]&gt;30, Dataset[[#This Row],[Age]]&lt;=60), "31-60",
    Dataset[[#This Row],[Age]]&gt;60, "above 60"
)</f>
        <v>31-60</v>
      </c>
      <c r="D346">
        <v>0</v>
      </c>
      <c r="E346">
        <v>0</v>
      </c>
      <c r="F346">
        <v>0</v>
      </c>
      <c r="G34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46" s="1" t="s">
        <v>49</v>
      </c>
      <c r="I346" s="1" t="s">
        <v>11</v>
      </c>
      <c r="J346" s="1" t="s">
        <v>12</v>
      </c>
      <c r="K346">
        <v>0</v>
      </c>
    </row>
    <row r="347" spans="1:11" x14ac:dyDescent="0.3">
      <c r="A347" s="1" t="s">
        <v>9</v>
      </c>
      <c r="B347">
        <v>64</v>
      </c>
      <c r="C347" t="str" cm="1">
        <f t="array" ref="C347">_xlfn.IFS(
    Dataset[[#This Row],[Age]]&lt;=10, "0-10",
    AND(Dataset[[#This Row],[Age]]&gt;10, Dataset[[#This Row],[Age]]&lt;=18), "11-18",
    AND(Dataset[[#This Row],[Age]]&gt;18, Dataset[[#This Row],[Age]]&lt;=30), "19-30",
    AND(Dataset[[#This Row],[Age]]&gt;30, Dataset[[#This Row],[Age]]&lt;=60), "31-60",
    Dataset[[#This Row],[Age]]&gt;60, "above 60"
)</f>
        <v>above 60</v>
      </c>
      <c r="D347">
        <v>1</v>
      </c>
      <c r="E347">
        <v>1</v>
      </c>
      <c r="F347">
        <v>0</v>
      </c>
      <c r="G34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47" s="1" t="s">
        <v>31</v>
      </c>
      <c r="I347" s="1" t="s">
        <v>15</v>
      </c>
      <c r="J347" s="1" t="s">
        <v>22</v>
      </c>
      <c r="K347">
        <v>1</v>
      </c>
    </row>
    <row r="348" spans="1:11" x14ac:dyDescent="0.3">
      <c r="A348" s="1" t="s">
        <v>13</v>
      </c>
      <c r="B348">
        <v>62</v>
      </c>
      <c r="C348" t="str" cm="1">
        <f t="array" ref="C348">_xlfn.IFS(
    Dataset[[#This Row],[Age]]&lt;=10, "0-10",
    AND(Dataset[[#This Row],[Age]]&gt;10, Dataset[[#This Row],[Age]]&lt;=18), "11-18",
    AND(Dataset[[#This Row],[Age]]&gt;18, Dataset[[#This Row],[Age]]&lt;=30), "19-30",
    AND(Dataset[[#This Row],[Age]]&gt;30, Dataset[[#This Row],[Age]]&lt;=60), "31-60",
    Dataset[[#This Row],[Age]]&gt;60, "above 60"
)</f>
        <v>above 60</v>
      </c>
      <c r="D348">
        <v>1</v>
      </c>
      <c r="E348">
        <v>1</v>
      </c>
      <c r="F348">
        <v>0</v>
      </c>
      <c r="G34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48" s="1" t="s">
        <v>41</v>
      </c>
      <c r="I348" s="1" t="s">
        <v>11</v>
      </c>
      <c r="J348" s="1" t="s">
        <v>17</v>
      </c>
      <c r="K348">
        <v>1</v>
      </c>
    </row>
    <row r="349" spans="1:11" x14ac:dyDescent="0.3">
      <c r="A349" s="1" t="s">
        <v>9</v>
      </c>
      <c r="B349">
        <v>40</v>
      </c>
      <c r="C349" t="str" cm="1">
        <f t="array" ref="C349">_xlfn.IFS(
    Dataset[[#This Row],[Age]]&lt;=10, "0-10",
    AND(Dataset[[#This Row],[Age]]&gt;10, Dataset[[#This Row],[Age]]&lt;=18), "11-18",
    AND(Dataset[[#This Row],[Age]]&gt;18, Dataset[[#This Row],[Age]]&lt;=30), "19-30",
    AND(Dataset[[#This Row],[Age]]&gt;30, Dataset[[#This Row],[Age]]&lt;=60), "31-60",
    Dataset[[#This Row],[Age]]&gt;60, "above 60"
)</f>
        <v>31-60</v>
      </c>
      <c r="D349">
        <v>1</v>
      </c>
      <c r="E349">
        <v>1</v>
      </c>
      <c r="F349">
        <v>1</v>
      </c>
      <c r="G34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49" s="1" t="s">
        <v>19</v>
      </c>
      <c r="I349" s="1" t="s">
        <v>15</v>
      </c>
      <c r="J349" s="1" t="s">
        <v>12</v>
      </c>
      <c r="K349">
        <v>1</v>
      </c>
    </row>
    <row r="350" spans="1:11" x14ac:dyDescent="0.3">
      <c r="A350" s="1" t="s">
        <v>9</v>
      </c>
      <c r="B350">
        <v>26</v>
      </c>
      <c r="C350" t="str" cm="1">
        <f t="array" ref="C350">_xlfn.IFS(
    Dataset[[#This Row],[Age]]&lt;=10, "0-10",
    AND(Dataset[[#This Row],[Age]]&gt;10, Dataset[[#This Row],[Age]]&lt;=18), "11-18",
    AND(Dataset[[#This Row],[Age]]&gt;18, Dataset[[#This Row],[Age]]&lt;=30), "19-30",
    AND(Dataset[[#This Row],[Age]]&gt;30, Dataset[[#This Row],[Age]]&lt;=60), "31-60",
    Dataset[[#This Row],[Age]]&gt;60, "above 60"
)</f>
        <v>19-30</v>
      </c>
      <c r="D350">
        <v>1</v>
      </c>
      <c r="E350">
        <v>1</v>
      </c>
      <c r="F350">
        <v>1</v>
      </c>
      <c r="G35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50" s="1" t="s">
        <v>40</v>
      </c>
      <c r="I350" s="1" t="s">
        <v>11</v>
      </c>
      <c r="J350" s="1" t="s">
        <v>22</v>
      </c>
      <c r="K350">
        <v>1</v>
      </c>
    </row>
    <row r="351" spans="1:11" x14ac:dyDescent="0.3">
      <c r="A351" s="1" t="s">
        <v>13</v>
      </c>
      <c r="B351">
        <v>47</v>
      </c>
      <c r="C351" t="str" cm="1">
        <f t="array" ref="C351">_xlfn.IFS(
    Dataset[[#This Row],[Age]]&lt;=10, "0-10",
    AND(Dataset[[#This Row],[Age]]&gt;10, Dataset[[#This Row],[Age]]&lt;=18), "11-18",
    AND(Dataset[[#This Row],[Age]]&gt;18, Dataset[[#This Row],[Age]]&lt;=30), "19-30",
    AND(Dataset[[#This Row],[Age]]&gt;30, Dataset[[#This Row],[Age]]&lt;=60), "31-60",
    Dataset[[#This Row],[Age]]&gt;60, "above 60"
)</f>
        <v>31-60</v>
      </c>
      <c r="D351">
        <v>1</v>
      </c>
      <c r="E351">
        <v>1</v>
      </c>
      <c r="F351">
        <v>1</v>
      </c>
      <c r="G35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51" s="1" t="s">
        <v>35</v>
      </c>
      <c r="I351" s="1" t="s">
        <v>15</v>
      </c>
      <c r="J351" s="1" t="s">
        <v>12</v>
      </c>
      <c r="K351">
        <v>1</v>
      </c>
    </row>
    <row r="352" spans="1:11" x14ac:dyDescent="0.3">
      <c r="A352" s="1" t="s">
        <v>13</v>
      </c>
      <c r="B352">
        <v>56</v>
      </c>
      <c r="C352" t="str" cm="1">
        <f t="array" ref="C352">_xlfn.IFS(
    Dataset[[#This Row],[Age]]&lt;=10, "0-10",
    AND(Dataset[[#This Row],[Age]]&gt;10, Dataset[[#This Row],[Age]]&lt;=18), "11-18",
    AND(Dataset[[#This Row],[Age]]&gt;18, Dataset[[#This Row],[Age]]&lt;=30), "19-30",
    AND(Dataset[[#This Row],[Age]]&gt;30, Dataset[[#This Row],[Age]]&lt;=60), "31-60",
    Dataset[[#This Row],[Age]]&gt;60, "above 60"
)</f>
        <v>31-60</v>
      </c>
      <c r="D352">
        <v>0</v>
      </c>
      <c r="E352">
        <v>0</v>
      </c>
      <c r="F352">
        <v>0</v>
      </c>
      <c r="G35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52" s="1" t="s">
        <v>37</v>
      </c>
      <c r="I352" s="1" t="s">
        <v>11</v>
      </c>
      <c r="J352" s="1" t="s">
        <v>17</v>
      </c>
      <c r="K352">
        <v>0</v>
      </c>
    </row>
    <row r="353" spans="1:11" x14ac:dyDescent="0.3">
      <c r="A353" s="1" t="s">
        <v>9</v>
      </c>
      <c r="B353">
        <v>19</v>
      </c>
      <c r="C353" t="str" cm="1">
        <f t="array" ref="C353">_xlfn.IFS(
    Dataset[[#This Row],[Age]]&lt;=10, "0-10",
    AND(Dataset[[#This Row],[Age]]&gt;10, Dataset[[#This Row],[Age]]&lt;=18), "11-18",
    AND(Dataset[[#This Row],[Age]]&gt;18, Dataset[[#This Row],[Age]]&lt;=30), "19-30",
    AND(Dataset[[#This Row],[Age]]&gt;30, Dataset[[#This Row],[Age]]&lt;=60), "31-60",
    Dataset[[#This Row],[Age]]&gt;60, "above 60"
)</f>
        <v>19-30</v>
      </c>
      <c r="D353">
        <v>1</v>
      </c>
      <c r="E353">
        <v>1</v>
      </c>
      <c r="F353">
        <v>1</v>
      </c>
      <c r="G35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53" s="1" t="s">
        <v>47</v>
      </c>
      <c r="I353" s="1" t="s">
        <v>15</v>
      </c>
      <c r="J353" s="1" t="s">
        <v>17</v>
      </c>
      <c r="K353">
        <v>1</v>
      </c>
    </row>
    <row r="354" spans="1:11" x14ac:dyDescent="0.3">
      <c r="A354" s="1" t="s">
        <v>13</v>
      </c>
      <c r="B354">
        <v>17</v>
      </c>
      <c r="C354" t="str" cm="1">
        <f t="array" ref="C354">_xlfn.IFS(
    Dataset[[#This Row],[Age]]&lt;=10, "0-10",
    AND(Dataset[[#This Row],[Age]]&gt;10, Dataset[[#This Row],[Age]]&lt;=18), "11-18",
    AND(Dataset[[#This Row],[Age]]&gt;18, Dataset[[#This Row],[Age]]&lt;=30), "19-30",
    AND(Dataset[[#This Row],[Age]]&gt;30, Dataset[[#This Row],[Age]]&lt;=60), "31-60",
    Dataset[[#This Row],[Age]]&gt;60, "above 60"
)</f>
        <v>11-18</v>
      </c>
      <c r="D354">
        <v>0</v>
      </c>
      <c r="E354">
        <v>0</v>
      </c>
      <c r="F354">
        <v>1</v>
      </c>
      <c r="G35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54" s="1" t="s">
        <v>18</v>
      </c>
      <c r="I354" s="1" t="s">
        <v>11</v>
      </c>
      <c r="J354" s="1" t="s">
        <v>12</v>
      </c>
      <c r="K354">
        <v>0</v>
      </c>
    </row>
    <row r="355" spans="1:11" x14ac:dyDescent="0.3">
      <c r="A355" s="1" t="s">
        <v>9</v>
      </c>
      <c r="B355">
        <v>57</v>
      </c>
      <c r="C355" t="str" cm="1">
        <f t="array" ref="C355">_xlfn.IFS(
    Dataset[[#This Row],[Age]]&lt;=10, "0-10",
    AND(Dataset[[#This Row],[Age]]&gt;10, Dataset[[#This Row],[Age]]&lt;=18), "11-18",
    AND(Dataset[[#This Row],[Age]]&gt;18, Dataset[[#This Row],[Age]]&lt;=30), "19-30",
    AND(Dataset[[#This Row],[Age]]&gt;30, Dataset[[#This Row],[Age]]&lt;=60), "31-60",
    Dataset[[#This Row],[Age]]&gt;60, "above 60"
)</f>
        <v>31-60</v>
      </c>
      <c r="D355">
        <v>1</v>
      </c>
      <c r="E355">
        <v>1</v>
      </c>
      <c r="F355">
        <v>0</v>
      </c>
      <c r="G35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55" s="1" t="s">
        <v>34</v>
      </c>
      <c r="I355" s="1" t="s">
        <v>15</v>
      </c>
      <c r="J355" s="1" t="s">
        <v>12</v>
      </c>
      <c r="K355">
        <v>1</v>
      </c>
    </row>
    <row r="356" spans="1:11" x14ac:dyDescent="0.3">
      <c r="A356" s="1" t="s">
        <v>13</v>
      </c>
      <c r="B356">
        <v>47</v>
      </c>
      <c r="C356" t="str" cm="1">
        <f t="array" ref="C356">_xlfn.IFS(
    Dataset[[#This Row],[Age]]&lt;=10, "0-10",
    AND(Dataset[[#This Row],[Age]]&gt;10, Dataset[[#This Row],[Age]]&lt;=18), "11-18",
    AND(Dataset[[#This Row],[Age]]&gt;18, Dataset[[#This Row],[Age]]&lt;=30), "19-30",
    AND(Dataset[[#This Row],[Age]]&gt;30, Dataset[[#This Row],[Age]]&lt;=60), "31-60",
    Dataset[[#This Row],[Age]]&gt;60, "above 60"
)</f>
        <v>31-60</v>
      </c>
      <c r="D356">
        <v>1</v>
      </c>
      <c r="E356">
        <v>1</v>
      </c>
      <c r="F356">
        <v>1</v>
      </c>
      <c r="G35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56" s="1" t="s">
        <v>24</v>
      </c>
      <c r="I356" s="1" t="s">
        <v>11</v>
      </c>
      <c r="J356" s="1" t="s">
        <v>22</v>
      </c>
      <c r="K356">
        <v>1</v>
      </c>
    </row>
    <row r="357" spans="1:11" x14ac:dyDescent="0.3">
      <c r="A357" s="1" t="s">
        <v>13</v>
      </c>
      <c r="B357">
        <v>44</v>
      </c>
      <c r="C357" t="str" cm="1">
        <f t="array" ref="C357">_xlfn.IFS(
    Dataset[[#This Row],[Age]]&lt;=10, "0-10",
    AND(Dataset[[#This Row],[Age]]&gt;10, Dataset[[#This Row],[Age]]&lt;=18), "11-18",
    AND(Dataset[[#This Row],[Age]]&gt;18, Dataset[[#This Row],[Age]]&lt;=30), "19-30",
    AND(Dataset[[#This Row],[Age]]&gt;30, Dataset[[#This Row],[Age]]&lt;=60), "31-60",
    Dataset[[#This Row],[Age]]&gt;60, "above 60"
)</f>
        <v>31-60</v>
      </c>
      <c r="D357">
        <v>1</v>
      </c>
      <c r="E357">
        <v>1</v>
      </c>
      <c r="F357">
        <v>0</v>
      </c>
      <c r="G35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57" s="1" t="s">
        <v>31</v>
      </c>
      <c r="I357" s="1" t="s">
        <v>15</v>
      </c>
      <c r="J357" s="1" t="s">
        <v>12</v>
      </c>
      <c r="K357">
        <v>1</v>
      </c>
    </row>
    <row r="358" spans="1:11" x14ac:dyDescent="0.3">
      <c r="A358" s="1" t="s">
        <v>9</v>
      </c>
      <c r="B358">
        <v>18</v>
      </c>
      <c r="C358" t="str" cm="1">
        <f t="array" ref="C358">_xlfn.IFS(
    Dataset[[#This Row],[Age]]&lt;=10, "0-10",
    AND(Dataset[[#This Row],[Age]]&gt;10, Dataset[[#This Row],[Age]]&lt;=18), "11-18",
    AND(Dataset[[#This Row],[Age]]&gt;18, Dataset[[#This Row],[Age]]&lt;=30), "19-30",
    AND(Dataset[[#This Row],[Age]]&gt;30, Dataset[[#This Row],[Age]]&lt;=60), "31-60",
    Dataset[[#This Row],[Age]]&gt;60, "above 60"
)</f>
        <v>11-18</v>
      </c>
      <c r="D358">
        <v>0</v>
      </c>
      <c r="E358">
        <v>0</v>
      </c>
      <c r="F358">
        <v>0</v>
      </c>
      <c r="G35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58" s="1" t="s">
        <v>16</v>
      </c>
      <c r="I358" s="1" t="s">
        <v>11</v>
      </c>
      <c r="J358" s="1" t="s">
        <v>12</v>
      </c>
      <c r="K358">
        <v>0</v>
      </c>
    </row>
    <row r="359" spans="1:11" x14ac:dyDescent="0.3">
      <c r="A359" s="1" t="s">
        <v>13</v>
      </c>
      <c r="B359">
        <v>44</v>
      </c>
      <c r="C359" t="str" cm="1">
        <f t="array" ref="C359">_xlfn.IFS(
    Dataset[[#This Row],[Age]]&lt;=10, "0-10",
    AND(Dataset[[#This Row],[Age]]&gt;10, Dataset[[#This Row],[Age]]&lt;=18), "11-18",
    AND(Dataset[[#This Row],[Age]]&gt;18, Dataset[[#This Row],[Age]]&lt;=30), "19-30",
    AND(Dataset[[#This Row],[Age]]&gt;30, Dataset[[#This Row],[Age]]&lt;=60), "31-60",
    Dataset[[#This Row],[Age]]&gt;60, "above 60"
)</f>
        <v>31-60</v>
      </c>
      <c r="D359">
        <v>1</v>
      </c>
      <c r="E359">
        <v>1</v>
      </c>
      <c r="F359">
        <v>0</v>
      </c>
      <c r="G35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59" s="1" t="s">
        <v>42</v>
      </c>
      <c r="I359" s="1" t="s">
        <v>15</v>
      </c>
      <c r="J359" s="1" t="s">
        <v>22</v>
      </c>
      <c r="K359">
        <v>1</v>
      </c>
    </row>
    <row r="360" spans="1:11" x14ac:dyDescent="0.3">
      <c r="A360" s="1" t="s">
        <v>9</v>
      </c>
      <c r="B360">
        <v>20</v>
      </c>
      <c r="C360" t="str" cm="1">
        <f t="array" ref="C360">_xlfn.IFS(
    Dataset[[#This Row],[Age]]&lt;=10, "0-10",
    AND(Dataset[[#This Row],[Age]]&gt;10, Dataset[[#This Row],[Age]]&lt;=18), "11-18",
    AND(Dataset[[#This Row],[Age]]&gt;18, Dataset[[#This Row],[Age]]&lt;=30), "19-30",
    AND(Dataset[[#This Row],[Age]]&gt;30, Dataset[[#This Row],[Age]]&lt;=60), "31-60",
    Dataset[[#This Row],[Age]]&gt;60, "above 60"
)</f>
        <v>19-30</v>
      </c>
      <c r="D360">
        <v>1</v>
      </c>
      <c r="E360">
        <v>1</v>
      </c>
      <c r="F360">
        <v>1</v>
      </c>
      <c r="G36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60" s="1" t="s">
        <v>50</v>
      </c>
      <c r="I360" s="1" t="s">
        <v>11</v>
      </c>
      <c r="J360" s="1" t="s">
        <v>12</v>
      </c>
      <c r="K360">
        <v>1</v>
      </c>
    </row>
    <row r="361" spans="1:11" x14ac:dyDescent="0.3">
      <c r="A361" s="1" t="s">
        <v>13</v>
      </c>
      <c r="B361">
        <v>61</v>
      </c>
      <c r="C361" t="str" cm="1">
        <f t="array" ref="C361">_xlfn.IFS(
    Dataset[[#This Row],[Age]]&lt;=10, "0-10",
    AND(Dataset[[#This Row],[Age]]&gt;10, Dataset[[#This Row],[Age]]&lt;=18), "11-18",
    AND(Dataset[[#This Row],[Age]]&gt;18, Dataset[[#This Row],[Age]]&lt;=30), "19-30",
    AND(Dataset[[#This Row],[Age]]&gt;30, Dataset[[#This Row],[Age]]&lt;=60), "31-60",
    Dataset[[#This Row],[Age]]&gt;60, "above 60"
)</f>
        <v>above 60</v>
      </c>
      <c r="D361">
        <v>0</v>
      </c>
      <c r="E361">
        <v>0</v>
      </c>
      <c r="F361">
        <v>0</v>
      </c>
      <c r="G36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61" s="1" t="s">
        <v>45</v>
      </c>
      <c r="I361" s="1" t="s">
        <v>11</v>
      </c>
      <c r="J361" s="1" t="s">
        <v>17</v>
      </c>
      <c r="K361">
        <v>0</v>
      </c>
    </row>
    <row r="362" spans="1:11" x14ac:dyDescent="0.3">
      <c r="A362" s="1" t="s">
        <v>9</v>
      </c>
      <c r="B362">
        <v>47</v>
      </c>
      <c r="C362" t="str" cm="1">
        <f t="array" ref="C362">_xlfn.IFS(
    Dataset[[#This Row],[Age]]&lt;=10, "0-10",
    AND(Dataset[[#This Row],[Age]]&gt;10, Dataset[[#This Row],[Age]]&lt;=18), "11-18",
    AND(Dataset[[#This Row],[Age]]&gt;18, Dataset[[#This Row],[Age]]&lt;=30), "19-30",
    AND(Dataset[[#This Row],[Age]]&gt;30, Dataset[[#This Row],[Age]]&lt;=60), "31-60",
    Dataset[[#This Row],[Age]]&gt;60, "above 60"
)</f>
        <v>31-60</v>
      </c>
      <c r="D362">
        <v>0</v>
      </c>
      <c r="E362">
        <v>0</v>
      </c>
      <c r="F362">
        <v>0</v>
      </c>
      <c r="G36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62" s="1" t="s">
        <v>35</v>
      </c>
      <c r="I362" s="1" t="s">
        <v>15</v>
      </c>
      <c r="J362" s="1" t="s">
        <v>17</v>
      </c>
      <c r="K362">
        <v>0</v>
      </c>
    </row>
    <row r="363" spans="1:11" x14ac:dyDescent="0.3">
      <c r="A363" s="1" t="s">
        <v>9</v>
      </c>
      <c r="B363">
        <v>15</v>
      </c>
      <c r="C363" t="str" cm="1">
        <f t="array" ref="C363">_xlfn.IFS(
    Dataset[[#This Row],[Age]]&lt;=10, "0-10",
    AND(Dataset[[#This Row],[Age]]&gt;10, Dataset[[#This Row],[Age]]&lt;=18), "11-18",
    AND(Dataset[[#This Row],[Age]]&gt;18, Dataset[[#This Row],[Age]]&lt;=30), "19-30",
    AND(Dataset[[#This Row],[Age]]&gt;30, Dataset[[#This Row],[Age]]&lt;=60), "31-60",
    Dataset[[#This Row],[Age]]&gt;60, "above 60"
)</f>
        <v>11-18</v>
      </c>
      <c r="D363">
        <v>1</v>
      </c>
      <c r="E363">
        <v>1</v>
      </c>
      <c r="F363">
        <v>1</v>
      </c>
      <c r="G36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63" s="1" t="s">
        <v>25</v>
      </c>
      <c r="I363" s="1" t="s">
        <v>11</v>
      </c>
      <c r="J363" s="1" t="s">
        <v>22</v>
      </c>
      <c r="K363">
        <v>1</v>
      </c>
    </row>
    <row r="364" spans="1:11" x14ac:dyDescent="0.3">
      <c r="A364" s="1" t="s">
        <v>13</v>
      </c>
      <c r="B364">
        <v>58</v>
      </c>
      <c r="C364" t="str" cm="1">
        <f t="array" ref="C364">_xlfn.IFS(
    Dataset[[#This Row],[Age]]&lt;=10, "0-10",
    AND(Dataset[[#This Row],[Age]]&gt;10, Dataset[[#This Row],[Age]]&lt;=18), "11-18",
    AND(Dataset[[#This Row],[Age]]&gt;18, Dataset[[#This Row],[Age]]&lt;=30), "19-30",
    AND(Dataset[[#This Row],[Age]]&gt;30, Dataset[[#This Row],[Age]]&lt;=60), "31-60",
    Dataset[[#This Row],[Age]]&gt;60, "above 60"
)</f>
        <v>31-60</v>
      </c>
      <c r="D364">
        <v>0</v>
      </c>
      <c r="E364">
        <v>0</v>
      </c>
      <c r="F364">
        <v>1</v>
      </c>
      <c r="G36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64" s="1" t="s">
        <v>33</v>
      </c>
      <c r="I364" s="1" t="s">
        <v>15</v>
      </c>
      <c r="J364" s="1" t="s">
        <v>17</v>
      </c>
      <c r="K364">
        <v>0</v>
      </c>
    </row>
    <row r="365" spans="1:11" x14ac:dyDescent="0.3">
      <c r="A365" s="1" t="s">
        <v>13</v>
      </c>
      <c r="B365">
        <v>64</v>
      </c>
      <c r="C365" t="str" cm="1">
        <f t="array" ref="C365">_xlfn.IFS(
    Dataset[[#This Row],[Age]]&lt;=10, "0-10",
    AND(Dataset[[#This Row],[Age]]&gt;10, Dataset[[#This Row],[Age]]&lt;=18), "11-18",
    AND(Dataset[[#This Row],[Age]]&gt;18, Dataset[[#This Row],[Age]]&lt;=30), "19-30",
    AND(Dataset[[#This Row],[Age]]&gt;30, Dataset[[#This Row],[Age]]&lt;=60), "31-60",
    Dataset[[#This Row],[Age]]&gt;60, "above 60"
)</f>
        <v>above 60</v>
      </c>
      <c r="D365">
        <v>0</v>
      </c>
      <c r="E365">
        <v>0</v>
      </c>
      <c r="F365">
        <v>0</v>
      </c>
      <c r="G36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65" s="1" t="s">
        <v>33</v>
      </c>
      <c r="I365" s="1" t="s">
        <v>11</v>
      </c>
      <c r="J365" s="1" t="s">
        <v>12</v>
      </c>
      <c r="K365">
        <v>0</v>
      </c>
    </row>
    <row r="366" spans="1:11" x14ac:dyDescent="0.3">
      <c r="A366" s="1" t="s">
        <v>9</v>
      </c>
      <c r="B366">
        <v>50</v>
      </c>
      <c r="C366" t="str" cm="1">
        <f t="array" ref="C366">_xlfn.IFS(
    Dataset[[#This Row],[Age]]&lt;=10, "0-10",
    AND(Dataset[[#This Row],[Age]]&gt;10, Dataset[[#This Row],[Age]]&lt;=18), "11-18",
    AND(Dataset[[#This Row],[Age]]&gt;18, Dataset[[#This Row],[Age]]&lt;=30), "19-30",
    AND(Dataset[[#This Row],[Age]]&gt;30, Dataset[[#This Row],[Age]]&lt;=60), "31-60",
    Dataset[[#This Row],[Age]]&gt;60, "above 60"
)</f>
        <v>31-60</v>
      </c>
      <c r="D366">
        <v>1</v>
      </c>
      <c r="E366">
        <v>1</v>
      </c>
      <c r="F366">
        <v>1</v>
      </c>
      <c r="G36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66" s="1" t="s">
        <v>36</v>
      </c>
      <c r="I366" s="1" t="s">
        <v>15</v>
      </c>
      <c r="J366" s="1" t="s">
        <v>22</v>
      </c>
      <c r="K366">
        <v>1</v>
      </c>
    </row>
    <row r="367" spans="1:11" x14ac:dyDescent="0.3">
      <c r="A367" s="1" t="s">
        <v>9</v>
      </c>
      <c r="B367">
        <v>52</v>
      </c>
      <c r="C367" t="str" cm="1">
        <f t="array" ref="C367">_xlfn.IFS(
    Dataset[[#This Row],[Age]]&lt;=10, "0-10",
    AND(Dataset[[#This Row],[Age]]&gt;10, Dataset[[#This Row],[Age]]&lt;=18), "11-18",
    AND(Dataset[[#This Row],[Age]]&gt;18, Dataset[[#This Row],[Age]]&lt;=30), "19-30",
    AND(Dataset[[#This Row],[Age]]&gt;30, Dataset[[#This Row],[Age]]&lt;=60), "31-60",
    Dataset[[#This Row],[Age]]&gt;60, "above 60"
)</f>
        <v>31-60</v>
      </c>
      <c r="D367">
        <v>1</v>
      </c>
      <c r="E367">
        <v>1</v>
      </c>
      <c r="F367">
        <v>1</v>
      </c>
      <c r="G36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67" s="1" t="s">
        <v>37</v>
      </c>
      <c r="I367" s="1" t="s">
        <v>11</v>
      </c>
      <c r="J367" s="1" t="s">
        <v>12</v>
      </c>
      <c r="K367">
        <v>1</v>
      </c>
    </row>
    <row r="368" spans="1:11" x14ac:dyDescent="0.3">
      <c r="A368" s="1" t="s">
        <v>13</v>
      </c>
      <c r="B368">
        <v>59</v>
      </c>
      <c r="C368" t="str" cm="1">
        <f t="array" ref="C368">_xlfn.IFS(
    Dataset[[#This Row],[Age]]&lt;=10, "0-10",
    AND(Dataset[[#This Row],[Age]]&gt;10, Dataset[[#This Row],[Age]]&lt;=18), "11-18",
    AND(Dataset[[#This Row],[Age]]&gt;18, Dataset[[#This Row],[Age]]&lt;=30), "19-30",
    AND(Dataset[[#This Row],[Age]]&gt;30, Dataset[[#This Row],[Age]]&lt;=60), "31-60",
    Dataset[[#This Row],[Age]]&gt;60, "above 60"
)</f>
        <v>31-60</v>
      </c>
      <c r="D368">
        <v>1</v>
      </c>
      <c r="E368">
        <v>1</v>
      </c>
      <c r="F368">
        <v>0</v>
      </c>
      <c r="G36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68" s="1" t="s">
        <v>19</v>
      </c>
      <c r="I368" s="1" t="s">
        <v>15</v>
      </c>
      <c r="J368" s="1" t="s">
        <v>22</v>
      </c>
      <c r="K368">
        <v>1</v>
      </c>
    </row>
    <row r="369" spans="1:11" x14ac:dyDescent="0.3">
      <c r="A369" s="1" t="s">
        <v>9</v>
      </c>
      <c r="B369">
        <v>51</v>
      </c>
      <c r="C369" t="str" cm="1">
        <f t="array" ref="C369">_xlfn.IFS(
    Dataset[[#This Row],[Age]]&lt;=10, "0-10",
    AND(Dataset[[#This Row],[Age]]&gt;10, Dataset[[#This Row],[Age]]&lt;=18), "11-18",
    AND(Dataset[[#This Row],[Age]]&gt;18, Dataset[[#This Row],[Age]]&lt;=30), "19-30",
    AND(Dataset[[#This Row],[Age]]&gt;30, Dataset[[#This Row],[Age]]&lt;=60), "31-60",
    Dataset[[#This Row],[Age]]&gt;60, "above 60"
)</f>
        <v>31-60</v>
      </c>
      <c r="D369">
        <v>0</v>
      </c>
      <c r="E369">
        <v>0</v>
      </c>
      <c r="F369">
        <v>1</v>
      </c>
      <c r="G36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69" s="1" t="s">
        <v>42</v>
      </c>
      <c r="I369" s="1" t="s">
        <v>11</v>
      </c>
      <c r="J369" s="1" t="s">
        <v>12</v>
      </c>
      <c r="K369">
        <v>0</v>
      </c>
    </row>
    <row r="370" spans="1:11" x14ac:dyDescent="0.3">
      <c r="A370" s="1" t="s">
        <v>13</v>
      </c>
      <c r="B370">
        <v>16</v>
      </c>
      <c r="C370" t="str" cm="1">
        <f t="array" ref="C370">_xlfn.IFS(
    Dataset[[#This Row],[Age]]&lt;=10, "0-10",
    AND(Dataset[[#This Row],[Age]]&gt;10, Dataset[[#This Row],[Age]]&lt;=18), "11-18",
    AND(Dataset[[#This Row],[Age]]&gt;18, Dataset[[#This Row],[Age]]&lt;=30), "19-30",
    AND(Dataset[[#This Row],[Age]]&gt;30, Dataset[[#This Row],[Age]]&lt;=60), "31-60",
    Dataset[[#This Row],[Age]]&gt;60, "above 60"
)</f>
        <v>11-18</v>
      </c>
      <c r="D370">
        <v>0</v>
      </c>
      <c r="E370">
        <v>0</v>
      </c>
      <c r="F370">
        <v>1</v>
      </c>
      <c r="G37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70" s="1" t="s">
        <v>26</v>
      </c>
      <c r="I370" s="1" t="s">
        <v>15</v>
      </c>
      <c r="J370" s="1" t="s">
        <v>12</v>
      </c>
      <c r="K370">
        <v>0</v>
      </c>
    </row>
    <row r="371" spans="1:11" x14ac:dyDescent="0.3">
      <c r="A371" s="1" t="s">
        <v>9</v>
      </c>
      <c r="B371">
        <v>20</v>
      </c>
      <c r="C371" t="str" cm="1">
        <f t="array" ref="C371">_xlfn.IFS(
    Dataset[[#This Row],[Age]]&lt;=10, "0-10",
    AND(Dataset[[#This Row],[Age]]&gt;10, Dataset[[#This Row],[Age]]&lt;=18), "11-18",
    AND(Dataset[[#This Row],[Age]]&gt;18, Dataset[[#This Row],[Age]]&lt;=30), "19-30",
    AND(Dataset[[#This Row],[Age]]&gt;30, Dataset[[#This Row],[Age]]&lt;=60), "31-60",
    Dataset[[#This Row],[Age]]&gt;60, "above 60"
)</f>
        <v>19-30</v>
      </c>
      <c r="D371">
        <v>0</v>
      </c>
      <c r="E371">
        <v>0</v>
      </c>
      <c r="F371">
        <v>1</v>
      </c>
      <c r="G37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71" s="1" t="s">
        <v>27</v>
      </c>
      <c r="I371" s="1" t="s">
        <v>11</v>
      </c>
      <c r="J371" s="1" t="s">
        <v>12</v>
      </c>
      <c r="K371">
        <v>0</v>
      </c>
    </row>
    <row r="372" spans="1:11" x14ac:dyDescent="0.3">
      <c r="A372" s="1" t="s">
        <v>13</v>
      </c>
      <c r="B372">
        <v>48</v>
      </c>
      <c r="C372" t="str" cm="1">
        <f t="array" ref="C372">_xlfn.IFS(
    Dataset[[#This Row],[Age]]&lt;=10, "0-10",
    AND(Dataset[[#This Row],[Age]]&gt;10, Dataset[[#This Row],[Age]]&lt;=18), "11-18",
    AND(Dataset[[#This Row],[Age]]&gt;18, Dataset[[#This Row],[Age]]&lt;=30), "19-30",
    AND(Dataset[[#This Row],[Age]]&gt;30, Dataset[[#This Row],[Age]]&lt;=60), "31-60",
    Dataset[[#This Row],[Age]]&gt;60, "above 60"
)</f>
        <v>31-60</v>
      </c>
      <c r="D372">
        <v>1</v>
      </c>
      <c r="E372">
        <v>1</v>
      </c>
      <c r="F372">
        <v>1</v>
      </c>
      <c r="G37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72" s="1" t="s">
        <v>24</v>
      </c>
      <c r="I372" s="1" t="s">
        <v>15</v>
      </c>
      <c r="J372" s="1" t="s">
        <v>22</v>
      </c>
      <c r="K372">
        <v>1</v>
      </c>
    </row>
    <row r="373" spans="1:11" x14ac:dyDescent="0.3">
      <c r="A373" s="1" t="s">
        <v>13</v>
      </c>
      <c r="B373">
        <v>31</v>
      </c>
      <c r="C373" t="str" cm="1">
        <f t="array" ref="C373">_xlfn.IFS(
    Dataset[[#This Row],[Age]]&lt;=10, "0-10",
    AND(Dataset[[#This Row],[Age]]&gt;10, Dataset[[#This Row],[Age]]&lt;=18), "11-18",
    AND(Dataset[[#This Row],[Age]]&gt;18, Dataset[[#This Row],[Age]]&lt;=30), "19-30",
    AND(Dataset[[#This Row],[Age]]&gt;30, Dataset[[#This Row],[Age]]&lt;=60), "31-60",
    Dataset[[#This Row],[Age]]&gt;60, "above 60"
)</f>
        <v>31-60</v>
      </c>
      <c r="D373">
        <v>0</v>
      </c>
      <c r="E373">
        <v>0</v>
      </c>
      <c r="F373">
        <v>0</v>
      </c>
      <c r="G37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73" s="1" t="s">
        <v>21</v>
      </c>
      <c r="I373" s="1" t="s">
        <v>11</v>
      </c>
      <c r="J373" s="1" t="s">
        <v>22</v>
      </c>
      <c r="K373">
        <v>0</v>
      </c>
    </row>
    <row r="374" spans="1:11" x14ac:dyDescent="0.3">
      <c r="A374" s="1" t="s">
        <v>13</v>
      </c>
      <c r="B374">
        <v>53</v>
      </c>
      <c r="C374" t="str" cm="1">
        <f t="array" ref="C374">_xlfn.IFS(
    Dataset[[#This Row],[Age]]&lt;=10, "0-10",
    AND(Dataset[[#This Row],[Age]]&gt;10, Dataset[[#This Row],[Age]]&lt;=18), "11-18",
    AND(Dataset[[#This Row],[Age]]&gt;18, Dataset[[#This Row],[Age]]&lt;=30), "19-30",
    AND(Dataset[[#This Row],[Age]]&gt;30, Dataset[[#This Row],[Age]]&lt;=60), "31-60",
    Dataset[[#This Row],[Age]]&gt;60, "above 60"
)</f>
        <v>31-60</v>
      </c>
      <c r="D374">
        <v>1</v>
      </c>
      <c r="E374">
        <v>1</v>
      </c>
      <c r="F374">
        <v>1</v>
      </c>
      <c r="G37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74" s="1" t="s">
        <v>31</v>
      </c>
      <c r="I374" s="1" t="s">
        <v>15</v>
      </c>
      <c r="J374" s="1" t="s">
        <v>17</v>
      </c>
      <c r="K374">
        <v>1</v>
      </c>
    </row>
    <row r="375" spans="1:11" x14ac:dyDescent="0.3">
      <c r="A375" s="1" t="s">
        <v>9</v>
      </c>
      <c r="B375">
        <v>42</v>
      </c>
      <c r="C375" t="str" cm="1">
        <f t="array" ref="C375">_xlfn.IFS(
    Dataset[[#This Row],[Age]]&lt;=10, "0-10",
    AND(Dataset[[#This Row],[Age]]&gt;10, Dataset[[#This Row],[Age]]&lt;=18), "11-18",
    AND(Dataset[[#This Row],[Age]]&gt;18, Dataset[[#This Row],[Age]]&lt;=30), "19-30",
    AND(Dataset[[#This Row],[Age]]&gt;30, Dataset[[#This Row],[Age]]&lt;=60), "31-60",
    Dataset[[#This Row],[Age]]&gt;60, "above 60"
)</f>
        <v>31-60</v>
      </c>
      <c r="D375">
        <v>1</v>
      </c>
      <c r="E375">
        <v>1</v>
      </c>
      <c r="F375">
        <v>0</v>
      </c>
      <c r="G37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75" s="1" t="s">
        <v>25</v>
      </c>
      <c r="I375" s="1" t="s">
        <v>11</v>
      </c>
      <c r="J375" s="1" t="s">
        <v>12</v>
      </c>
      <c r="K375">
        <v>1</v>
      </c>
    </row>
    <row r="376" spans="1:11" x14ac:dyDescent="0.3">
      <c r="A376" s="1" t="s">
        <v>9</v>
      </c>
      <c r="B376">
        <v>9</v>
      </c>
      <c r="C376" t="str" cm="1">
        <f t="array" ref="C376">_xlfn.IFS(
    Dataset[[#This Row],[Age]]&lt;=10, "0-10",
    AND(Dataset[[#This Row],[Age]]&gt;10, Dataset[[#This Row],[Age]]&lt;=18), "11-18",
    AND(Dataset[[#This Row],[Age]]&gt;18, Dataset[[#This Row],[Age]]&lt;=30), "19-30",
    AND(Dataset[[#This Row],[Age]]&gt;30, Dataset[[#This Row],[Age]]&lt;=60), "31-60",
    Dataset[[#This Row],[Age]]&gt;60, "above 60"
)</f>
        <v>0-10</v>
      </c>
      <c r="D376">
        <v>1</v>
      </c>
      <c r="E376">
        <v>1</v>
      </c>
      <c r="F376">
        <v>1</v>
      </c>
      <c r="G37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76" s="1" t="s">
        <v>51</v>
      </c>
      <c r="I376" s="1" t="s">
        <v>15</v>
      </c>
      <c r="J376" s="1" t="s">
        <v>12</v>
      </c>
      <c r="K376">
        <v>1</v>
      </c>
    </row>
    <row r="377" spans="1:11" x14ac:dyDescent="0.3">
      <c r="A377" s="1" t="s">
        <v>9</v>
      </c>
      <c r="B377">
        <v>8</v>
      </c>
      <c r="C377" t="str" cm="1">
        <f t="array" ref="C377">_xlfn.IFS(
    Dataset[[#This Row],[Age]]&lt;=10, "0-10",
    AND(Dataset[[#This Row],[Age]]&gt;10, Dataset[[#This Row],[Age]]&lt;=18), "11-18",
    AND(Dataset[[#This Row],[Age]]&gt;18, Dataset[[#This Row],[Age]]&lt;=30), "19-30",
    AND(Dataset[[#This Row],[Age]]&gt;30, Dataset[[#This Row],[Age]]&lt;=60), "31-60",
    Dataset[[#This Row],[Age]]&gt;60, "above 60"
)</f>
        <v>0-10</v>
      </c>
      <c r="D377">
        <v>1</v>
      </c>
      <c r="E377">
        <v>1</v>
      </c>
      <c r="F377">
        <v>1</v>
      </c>
      <c r="G37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77" s="1" t="s">
        <v>20</v>
      </c>
      <c r="I377" s="1" t="s">
        <v>11</v>
      </c>
      <c r="J377" s="1" t="s">
        <v>17</v>
      </c>
      <c r="K377">
        <v>1</v>
      </c>
    </row>
    <row r="378" spans="1:11" x14ac:dyDescent="0.3">
      <c r="A378" s="1" t="s">
        <v>9</v>
      </c>
      <c r="B378">
        <v>17</v>
      </c>
      <c r="C378" t="str" cm="1">
        <f t="array" ref="C378">_xlfn.IFS(
    Dataset[[#This Row],[Age]]&lt;=10, "0-10",
    AND(Dataset[[#This Row],[Age]]&gt;10, Dataset[[#This Row],[Age]]&lt;=18), "11-18",
    AND(Dataset[[#This Row],[Age]]&gt;18, Dataset[[#This Row],[Age]]&lt;=30), "19-30",
    AND(Dataset[[#This Row],[Age]]&gt;30, Dataset[[#This Row],[Age]]&lt;=60), "31-60",
    Dataset[[#This Row],[Age]]&gt;60, "above 60"
)</f>
        <v>11-18</v>
      </c>
      <c r="D378">
        <v>0</v>
      </c>
      <c r="E378">
        <v>0</v>
      </c>
      <c r="F378">
        <v>1</v>
      </c>
      <c r="G37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78" s="1" t="s">
        <v>20</v>
      </c>
      <c r="I378" s="1" t="s">
        <v>15</v>
      </c>
      <c r="J378" s="1" t="s">
        <v>12</v>
      </c>
      <c r="K378">
        <v>0</v>
      </c>
    </row>
    <row r="379" spans="1:11" x14ac:dyDescent="0.3">
      <c r="A379" s="1" t="s">
        <v>9</v>
      </c>
      <c r="B379">
        <v>16</v>
      </c>
      <c r="C379" t="str" cm="1">
        <f t="array" ref="C379">_xlfn.IFS(
    Dataset[[#This Row],[Age]]&lt;=10, "0-10",
    AND(Dataset[[#This Row],[Age]]&gt;10, Dataset[[#This Row],[Age]]&lt;=18), "11-18",
    AND(Dataset[[#This Row],[Age]]&gt;18, Dataset[[#This Row],[Age]]&lt;=30), "19-30",
    AND(Dataset[[#This Row],[Age]]&gt;30, Dataset[[#This Row],[Age]]&lt;=60), "31-60",
    Dataset[[#This Row],[Age]]&gt;60, "above 60"
)</f>
        <v>11-18</v>
      </c>
      <c r="D379">
        <v>1</v>
      </c>
      <c r="E379">
        <v>1</v>
      </c>
      <c r="F379">
        <v>0</v>
      </c>
      <c r="G37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79" s="1" t="s">
        <v>21</v>
      </c>
      <c r="I379" s="1" t="s">
        <v>11</v>
      </c>
      <c r="J379" s="1" t="s">
        <v>22</v>
      </c>
      <c r="K379">
        <v>1</v>
      </c>
    </row>
    <row r="380" spans="1:11" x14ac:dyDescent="0.3">
      <c r="A380" s="1" t="s">
        <v>9</v>
      </c>
      <c r="B380">
        <v>15</v>
      </c>
      <c r="C380" t="str" cm="1">
        <f t="array" ref="C380">_xlfn.IFS(
    Dataset[[#This Row],[Age]]&lt;=10, "0-10",
    AND(Dataset[[#This Row],[Age]]&gt;10, Dataset[[#This Row],[Age]]&lt;=18), "11-18",
    AND(Dataset[[#This Row],[Age]]&gt;18, Dataset[[#This Row],[Age]]&lt;=30), "19-30",
    AND(Dataset[[#This Row],[Age]]&gt;30, Dataset[[#This Row],[Age]]&lt;=60), "31-60",
    Dataset[[#This Row],[Age]]&gt;60, "above 60"
)</f>
        <v>11-18</v>
      </c>
      <c r="D380">
        <v>1</v>
      </c>
      <c r="E380">
        <v>1</v>
      </c>
      <c r="F380">
        <v>1</v>
      </c>
      <c r="G38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80" s="1" t="s">
        <v>43</v>
      </c>
      <c r="I380" s="1" t="s">
        <v>15</v>
      </c>
      <c r="J380" s="1" t="s">
        <v>17</v>
      </c>
      <c r="K380">
        <v>1</v>
      </c>
    </row>
    <row r="381" spans="1:11" x14ac:dyDescent="0.3">
      <c r="A381" s="1" t="s">
        <v>9</v>
      </c>
      <c r="B381">
        <v>63</v>
      </c>
      <c r="C381" t="str" cm="1">
        <f t="array" ref="C381">_xlfn.IFS(
    Dataset[[#This Row],[Age]]&lt;=10, "0-10",
    AND(Dataset[[#This Row],[Age]]&gt;10, Dataset[[#This Row],[Age]]&lt;=18), "11-18",
    AND(Dataset[[#This Row],[Age]]&gt;18, Dataset[[#This Row],[Age]]&lt;=30), "19-30",
    AND(Dataset[[#This Row],[Age]]&gt;30, Dataset[[#This Row],[Age]]&lt;=60), "31-60",
    Dataset[[#This Row],[Age]]&gt;60, "above 60"
)</f>
        <v>above 60</v>
      </c>
      <c r="D381">
        <v>0</v>
      </c>
      <c r="E381">
        <v>0</v>
      </c>
      <c r="F381">
        <v>1</v>
      </c>
      <c r="G38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81" s="1" t="s">
        <v>18</v>
      </c>
      <c r="I381" s="1" t="s">
        <v>11</v>
      </c>
      <c r="J381" s="1" t="s">
        <v>12</v>
      </c>
      <c r="K381">
        <v>0</v>
      </c>
    </row>
    <row r="382" spans="1:11" x14ac:dyDescent="0.3">
      <c r="A382" s="1" t="s">
        <v>13</v>
      </c>
      <c r="B382">
        <v>35</v>
      </c>
      <c r="C382" t="str" cm="1">
        <f t="array" ref="C382">_xlfn.IFS(
    Dataset[[#This Row],[Age]]&lt;=10, "0-10",
    AND(Dataset[[#This Row],[Age]]&gt;10, Dataset[[#This Row],[Age]]&lt;=18), "11-18",
    AND(Dataset[[#This Row],[Age]]&gt;18, Dataset[[#This Row],[Age]]&lt;=30), "19-30",
    AND(Dataset[[#This Row],[Age]]&gt;30, Dataset[[#This Row],[Age]]&lt;=60), "31-60",
    Dataset[[#This Row],[Age]]&gt;60, "above 60"
)</f>
        <v>31-60</v>
      </c>
      <c r="D382">
        <v>1</v>
      </c>
      <c r="E382">
        <v>1</v>
      </c>
      <c r="F382">
        <v>1</v>
      </c>
      <c r="G38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82" s="1" t="s">
        <v>42</v>
      </c>
      <c r="I382" s="1" t="s">
        <v>15</v>
      </c>
      <c r="J382" s="1" t="s">
        <v>17</v>
      </c>
      <c r="K382">
        <v>1</v>
      </c>
    </row>
    <row r="383" spans="1:11" x14ac:dyDescent="0.3">
      <c r="A383" s="1" t="s">
        <v>13</v>
      </c>
      <c r="B383">
        <v>51</v>
      </c>
      <c r="C383" t="str" cm="1">
        <f t="array" ref="C383">_xlfn.IFS(
    Dataset[[#This Row],[Age]]&lt;=10, "0-10",
    AND(Dataset[[#This Row],[Age]]&gt;10, Dataset[[#This Row],[Age]]&lt;=18), "11-18",
    AND(Dataset[[#This Row],[Age]]&gt;18, Dataset[[#This Row],[Age]]&lt;=30), "19-30",
    AND(Dataset[[#This Row],[Age]]&gt;30, Dataset[[#This Row],[Age]]&lt;=60), "31-60",
    Dataset[[#This Row],[Age]]&gt;60, "above 60"
)</f>
        <v>31-60</v>
      </c>
      <c r="D383">
        <v>0</v>
      </c>
      <c r="E383">
        <v>0</v>
      </c>
      <c r="F383">
        <v>0</v>
      </c>
      <c r="G38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83" s="1" t="s">
        <v>42</v>
      </c>
      <c r="I383" s="1" t="s">
        <v>11</v>
      </c>
      <c r="J383" s="1" t="s">
        <v>12</v>
      </c>
      <c r="K383">
        <v>0</v>
      </c>
    </row>
    <row r="384" spans="1:11" x14ac:dyDescent="0.3">
      <c r="A384" s="1" t="s">
        <v>13</v>
      </c>
      <c r="B384">
        <v>33</v>
      </c>
      <c r="C384" t="str" cm="1">
        <f t="array" ref="C384">_xlfn.IFS(
    Dataset[[#This Row],[Age]]&lt;=10, "0-10",
    AND(Dataset[[#This Row],[Age]]&gt;10, Dataset[[#This Row],[Age]]&lt;=18), "11-18",
    AND(Dataset[[#This Row],[Age]]&gt;18, Dataset[[#This Row],[Age]]&lt;=30), "19-30",
    AND(Dataset[[#This Row],[Age]]&gt;30, Dataset[[#This Row],[Age]]&lt;=60), "31-60",
    Dataset[[#This Row],[Age]]&gt;60, "above 60"
)</f>
        <v>31-60</v>
      </c>
      <c r="D384">
        <v>0</v>
      </c>
      <c r="E384">
        <v>0</v>
      </c>
      <c r="F384">
        <v>0</v>
      </c>
      <c r="G38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84" s="1" t="s">
        <v>28</v>
      </c>
      <c r="I384" s="1" t="s">
        <v>15</v>
      </c>
      <c r="J384" s="1" t="s">
        <v>17</v>
      </c>
      <c r="K384">
        <v>0</v>
      </c>
    </row>
    <row r="385" spans="1:11" x14ac:dyDescent="0.3">
      <c r="A385" s="1" t="s">
        <v>9</v>
      </c>
      <c r="B385">
        <v>17</v>
      </c>
      <c r="C385" t="str" cm="1">
        <f t="array" ref="C385">_xlfn.IFS(
    Dataset[[#This Row],[Age]]&lt;=10, "0-10",
    AND(Dataset[[#This Row],[Age]]&gt;10, Dataset[[#This Row],[Age]]&lt;=18), "11-18",
    AND(Dataset[[#This Row],[Age]]&gt;18, Dataset[[#This Row],[Age]]&lt;=30), "19-30",
    AND(Dataset[[#This Row],[Age]]&gt;30, Dataset[[#This Row],[Age]]&lt;=60), "31-60",
    Dataset[[#This Row],[Age]]&gt;60, "above 60"
)</f>
        <v>11-18</v>
      </c>
      <c r="D385">
        <v>1</v>
      </c>
      <c r="E385">
        <v>1</v>
      </c>
      <c r="F385">
        <v>1</v>
      </c>
      <c r="G38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85" s="1" t="s">
        <v>48</v>
      </c>
      <c r="I385" s="1" t="s">
        <v>11</v>
      </c>
      <c r="J385" s="1" t="s">
        <v>17</v>
      </c>
      <c r="K385">
        <v>1</v>
      </c>
    </row>
    <row r="386" spans="1:11" x14ac:dyDescent="0.3">
      <c r="A386" s="1" t="s">
        <v>9</v>
      </c>
      <c r="B386">
        <v>50</v>
      </c>
      <c r="C386" t="str" cm="1">
        <f t="array" ref="C386">_xlfn.IFS(
    Dataset[[#This Row],[Age]]&lt;=10, "0-10",
    AND(Dataset[[#This Row],[Age]]&gt;10, Dataset[[#This Row],[Age]]&lt;=18), "11-18",
    AND(Dataset[[#This Row],[Age]]&gt;18, Dataset[[#This Row],[Age]]&lt;=30), "19-30",
    AND(Dataset[[#This Row],[Age]]&gt;30, Dataset[[#This Row],[Age]]&lt;=60), "31-60",
    Dataset[[#This Row],[Age]]&gt;60, "above 60"
)</f>
        <v>31-60</v>
      </c>
      <c r="D386">
        <v>0</v>
      </c>
      <c r="E386">
        <v>0</v>
      </c>
      <c r="F386">
        <v>1</v>
      </c>
      <c r="G38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86" s="1" t="s">
        <v>41</v>
      </c>
      <c r="I386" s="1" t="s">
        <v>15</v>
      </c>
      <c r="J386" s="1" t="s">
        <v>12</v>
      </c>
      <c r="K386">
        <v>0</v>
      </c>
    </row>
    <row r="387" spans="1:11" x14ac:dyDescent="0.3">
      <c r="A387" s="1" t="s">
        <v>9</v>
      </c>
      <c r="B387">
        <v>34</v>
      </c>
      <c r="C387" t="str" cm="1">
        <f t="array" ref="C387">_xlfn.IFS(
    Dataset[[#This Row],[Age]]&lt;=10, "0-10",
    AND(Dataset[[#This Row],[Age]]&gt;10, Dataset[[#This Row],[Age]]&lt;=18), "11-18",
    AND(Dataset[[#This Row],[Age]]&gt;18, Dataset[[#This Row],[Age]]&lt;=30), "19-30",
    AND(Dataset[[#This Row],[Age]]&gt;30, Dataset[[#This Row],[Age]]&lt;=60), "31-60",
    Dataset[[#This Row],[Age]]&gt;60, "above 60"
)</f>
        <v>31-60</v>
      </c>
      <c r="D387">
        <v>1</v>
      </c>
      <c r="E387">
        <v>1</v>
      </c>
      <c r="F387">
        <v>1</v>
      </c>
      <c r="G38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87" s="1" t="s">
        <v>44</v>
      </c>
      <c r="I387" s="1" t="s">
        <v>11</v>
      </c>
      <c r="J387" s="1" t="s">
        <v>12</v>
      </c>
      <c r="K387">
        <v>1</v>
      </c>
    </row>
    <row r="388" spans="1:11" x14ac:dyDescent="0.3">
      <c r="A388" s="1" t="s">
        <v>9</v>
      </c>
      <c r="B388">
        <v>26</v>
      </c>
      <c r="C388" t="str" cm="1">
        <f t="array" ref="C388">_xlfn.IFS(
    Dataset[[#This Row],[Age]]&lt;=10, "0-10",
    AND(Dataset[[#This Row],[Age]]&gt;10, Dataset[[#This Row],[Age]]&lt;=18), "11-18",
    AND(Dataset[[#This Row],[Age]]&gt;18, Dataset[[#This Row],[Age]]&lt;=30), "19-30",
    AND(Dataset[[#This Row],[Age]]&gt;30, Dataset[[#This Row],[Age]]&lt;=60), "31-60",
    Dataset[[#This Row],[Age]]&gt;60, "above 60"
)</f>
        <v>19-30</v>
      </c>
      <c r="D388">
        <v>1</v>
      </c>
      <c r="E388">
        <v>1</v>
      </c>
      <c r="F388">
        <v>1</v>
      </c>
      <c r="G38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88" s="1" t="s">
        <v>37</v>
      </c>
      <c r="I388" s="1" t="s">
        <v>15</v>
      </c>
      <c r="J388" s="1" t="s">
        <v>22</v>
      </c>
      <c r="K388">
        <v>1</v>
      </c>
    </row>
    <row r="389" spans="1:11" x14ac:dyDescent="0.3">
      <c r="A389" s="1" t="s">
        <v>9</v>
      </c>
      <c r="B389">
        <v>25</v>
      </c>
      <c r="C389" t="str" cm="1">
        <f t="array" ref="C389">_xlfn.IFS(
    Dataset[[#This Row],[Age]]&lt;=10, "0-10",
    AND(Dataset[[#This Row],[Age]]&gt;10, Dataset[[#This Row],[Age]]&lt;=18), "11-18",
    AND(Dataset[[#This Row],[Age]]&gt;18, Dataset[[#This Row],[Age]]&lt;=30), "19-30",
    AND(Dataset[[#This Row],[Age]]&gt;30, Dataset[[#This Row],[Age]]&lt;=60), "31-60",
    Dataset[[#This Row],[Age]]&gt;60, "above 60"
)</f>
        <v>19-30</v>
      </c>
      <c r="D389">
        <v>0</v>
      </c>
      <c r="E389">
        <v>0</v>
      </c>
      <c r="F389">
        <v>1</v>
      </c>
      <c r="G38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89" s="1" t="s">
        <v>46</v>
      </c>
      <c r="I389" s="1" t="s">
        <v>11</v>
      </c>
      <c r="J389" s="1" t="s">
        <v>17</v>
      </c>
      <c r="K389">
        <v>0</v>
      </c>
    </row>
    <row r="390" spans="1:11" x14ac:dyDescent="0.3">
      <c r="A390" s="1" t="s">
        <v>13</v>
      </c>
      <c r="B390">
        <v>58</v>
      </c>
      <c r="C390" t="str" cm="1">
        <f t="array" ref="C390">_xlfn.IFS(
    Dataset[[#This Row],[Age]]&lt;=10, "0-10",
    AND(Dataset[[#This Row],[Age]]&gt;10, Dataset[[#This Row],[Age]]&lt;=18), "11-18",
    AND(Dataset[[#This Row],[Age]]&gt;18, Dataset[[#This Row],[Age]]&lt;=30), "19-30",
    AND(Dataset[[#This Row],[Age]]&gt;30, Dataset[[#This Row],[Age]]&lt;=60), "31-60",
    Dataset[[#This Row],[Age]]&gt;60, "above 60"
)</f>
        <v>31-60</v>
      </c>
      <c r="D390">
        <v>0</v>
      </c>
      <c r="E390">
        <v>0</v>
      </c>
      <c r="F390">
        <v>0</v>
      </c>
      <c r="G39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90" s="1" t="s">
        <v>20</v>
      </c>
      <c r="I390" s="1" t="s">
        <v>15</v>
      </c>
      <c r="J390" s="1" t="s">
        <v>22</v>
      </c>
      <c r="K390">
        <v>0</v>
      </c>
    </row>
    <row r="391" spans="1:11" x14ac:dyDescent="0.3">
      <c r="A391" s="1" t="s">
        <v>9</v>
      </c>
      <c r="B391">
        <v>29</v>
      </c>
      <c r="C391" t="str" cm="1">
        <f t="array" ref="C391">_xlfn.IFS(
    Dataset[[#This Row],[Age]]&lt;=10, "0-10",
    AND(Dataset[[#This Row],[Age]]&gt;10, Dataset[[#This Row],[Age]]&lt;=18), "11-18",
    AND(Dataset[[#This Row],[Age]]&gt;18, Dataset[[#This Row],[Age]]&lt;=30), "19-30",
    AND(Dataset[[#This Row],[Age]]&gt;30, Dataset[[#This Row],[Age]]&lt;=60), "31-60",
    Dataset[[#This Row],[Age]]&gt;60, "above 60"
)</f>
        <v>19-30</v>
      </c>
      <c r="D391">
        <v>1</v>
      </c>
      <c r="E391">
        <v>1</v>
      </c>
      <c r="F391">
        <v>1</v>
      </c>
      <c r="G39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91" s="1" t="s">
        <v>38</v>
      </c>
      <c r="I391" s="1" t="s">
        <v>11</v>
      </c>
      <c r="J391" s="1" t="s">
        <v>17</v>
      </c>
      <c r="K391">
        <v>1</v>
      </c>
    </row>
    <row r="392" spans="1:11" x14ac:dyDescent="0.3">
      <c r="A392" s="1" t="s">
        <v>13</v>
      </c>
      <c r="B392">
        <v>38</v>
      </c>
      <c r="C392" t="str" cm="1">
        <f t="array" ref="C392">_xlfn.IFS(
    Dataset[[#This Row],[Age]]&lt;=10, "0-10",
    AND(Dataset[[#This Row],[Age]]&gt;10, Dataset[[#This Row],[Age]]&lt;=18), "11-18",
    AND(Dataset[[#This Row],[Age]]&gt;18, Dataset[[#This Row],[Age]]&lt;=30), "19-30",
    AND(Dataset[[#This Row],[Age]]&gt;30, Dataset[[#This Row],[Age]]&lt;=60), "31-60",
    Dataset[[#This Row],[Age]]&gt;60, "above 60"
)</f>
        <v>31-60</v>
      </c>
      <c r="D392">
        <v>0</v>
      </c>
      <c r="E392">
        <v>0</v>
      </c>
      <c r="F392">
        <v>0</v>
      </c>
      <c r="G39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92" s="1" t="s">
        <v>43</v>
      </c>
      <c r="I392" s="1" t="s">
        <v>15</v>
      </c>
      <c r="J392" s="1" t="s">
        <v>22</v>
      </c>
      <c r="K392">
        <v>0</v>
      </c>
    </row>
    <row r="393" spans="1:11" x14ac:dyDescent="0.3">
      <c r="A393" s="1" t="s">
        <v>9</v>
      </c>
      <c r="B393">
        <v>17</v>
      </c>
      <c r="C393" t="str" cm="1">
        <f t="array" ref="C393">_xlfn.IFS(
    Dataset[[#This Row],[Age]]&lt;=10, "0-10",
    AND(Dataset[[#This Row],[Age]]&gt;10, Dataset[[#This Row],[Age]]&lt;=18), "11-18",
    AND(Dataset[[#This Row],[Age]]&gt;18, Dataset[[#This Row],[Age]]&lt;=30), "19-30",
    AND(Dataset[[#This Row],[Age]]&gt;30, Dataset[[#This Row],[Age]]&lt;=60), "31-60",
    Dataset[[#This Row],[Age]]&gt;60, "above 60"
)</f>
        <v>11-18</v>
      </c>
      <c r="D393">
        <v>1</v>
      </c>
      <c r="E393">
        <v>1</v>
      </c>
      <c r="F393">
        <v>0</v>
      </c>
      <c r="G39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93" s="1" t="s">
        <v>42</v>
      </c>
      <c r="I393" s="1" t="s">
        <v>11</v>
      </c>
      <c r="J393" s="1" t="s">
        <v>12</v>
      </c>
      <c r="K393">
        <v>1</v>
      </c>
    </row>
    <row r="394" spans="1:11" x14ac:dyDescent="0.3">
      <c r="A394" s="1" t="s">
        <v>9</v>
      </c>
      <c r="B394">
        <v>59</v>
      </c>
      <c r="C394" t="str" cm="1">
        <f t="array" ref="C394">_xlfn.IFS(
    Dataset[[#This Row],[Age]]&lt;=10, "0-10",
    AND(Dataset[[#This Row],[Age]]&gt;10, Dataset[[#This Row],[Age]]&lt;=18), "11-18",
    AND(Dataset[[#This Row],[Age]]&gt;18, Dataset[[#This Row],[Age]]&lt;=30), "19-30",
    AND(Dataset[[#This Row],[Age]]&gt;30, Dataset[[#This Row],[Age]]&lt;=60), "31-60",
    Dataset[[#This Row],[Age]]&gt;60, "above 60"
)</f>
        <v>31-60</v>
      </c>
      <c r="D394">
        <v>0</v>
      </c>
      <c r="E394">
        <v>0</v>
      </c>
      <c r="F394">
        <v>1</v>
      </c>
      <c r="G39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94" s="1" t="s">
        <v>18</v>
      </c>
      <c r="I394" s="1" t="s">
        <v>15</v>
      </c>
      <c r="J394" s="1" t="s">
        <v>12</v>
      </c>
      <c r="K394">
        <v>0</v>
      </c>
    </row>
    <row r="395" spans="1:11" x14ac:dyDescent="0.3">
      <c r="A395" s="1" t="s">
        <v>9</v>
      </c>
      <c r="B395">
        <v>22</v>
      </c>
      <c r="C395" t="str" cm="1">
        <f t="array" ref="C395">_xlfn.IFS(
    Dataset[[#This Row],[Age]]&lt;=10, "0-10",
    AND(Dataset[[#This Row],[Age]]&gt;10, Dataset[[#This Row],[Age]]&lt;=18), "11-18",
    AND(Dataset[[#This Row],[Age]]&gt;18, Dataset[[#This Row],[Age]]&lt;=30), "19-30",
    AND(Dataset[[#This Row],[Age]]&gt;30, Dataset[[#This Row],[Age]]&lt;=60), "31-60",
    Dataset[[#This Row],[Age]]&gt;60, "above 60"
)</f>
        <v>19-30</v>
      </c>
      <c r="D395">
        <v>0</v>
      </c>
      <c r="E395">
        <v>0</v>
      </c>
      <c r="F395">
        <v>1</v>
      </c>
      <c r="G39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95" s="1" t="s">
        <v>35</v>
      </c>
      <c r="I395" s="1" t="s">
        <v>11</v>
      </c>
      <c r="J395" s="1" t="s">
        <v>22</v>
      </c>
      <c r="K395">
        <v>0</v>
      </c>
    </row>
    <row r="396" spans="1:11" x14ac:dyDescent="0.3">
      <c r="A396" s="1" t="s">
        <v>9</v>
      </c>
      <c r="B396">
        <v>18</v>
      </c>
      <c r="C396" t="str" cm="1">
        <f t="array" ref="C396">_xlfn.IFS(
    Dataset[[#This Row],[Age]]&lt;=10, "0-10",
    AND(Dataset[[#This Row],[Age]]&gt;10, Dataset[[#This Row],[Age]]&lt;=18), "11-18",
    AND(Dataset[[#This Row],[Age]]&gt;18, Dataset[[#This Row],[Age]]&lt;=30), "19-30",
    AND(Dataset[[#This Row],[Age]]&gt;30, Dataset[[#This Row],[Age]]&lt;=60), "31-60",
    Dataset[[#This Row],[Age]]&gt;60, "above 60"
)</f>
        <v>11-18</v>
      </c>
      <c r="D396">
        <v>1</v>
      </c>
      <c r="E396">
        <v>1</v>
      </c>
      <c r="F396">
        <v>0</v>
      </c>
      <c r="G39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96" s="1" t="s">
        <v>20</v>
      </c>
      <c r="I396" s="1" t="s">
        <v>15</v>
      </c>
      <c r="J396" s="1" t="s">
        <v>17</v>
      </c>
      <c r="K396">
        <v>1</v>
      </c>
    </row>
    <row r="397" spans="1:11" x14ac:dyDescent="0.3">
      <c r="A397" s="1" t="s">
        <v>9</v>
      </c>
      <c r="B397">
        <v>45</v>
      </c>
      <c r="C397" t="str" cm="1">
        <f t="array" ref="C397">_xlfn.IFS(
    Dataset[[#This Row],[Age]]&lt;=10, "0-10",
    AND(Dataset[[#This Row],[Age]]&gt;10, Dataset[[#This Row],[Age]]&lt;=18), "11-18",
    AND(Dataset[[#This Row],[Age]]&gt;18, Dataset[[#This Row],[Age]]&lt;=30), "19-30",
    AND(Dataset[[#This Row],[Age]]&gt;30, Dataset[[#This Row],[Age]]&lt;=60), "31-60",
    Dataset[[#This Row],[Age]]&gt;60, "above 60"
)</f>
        <v>31-60</v>
      </c>
      <c r="D397">
        <v>0</v>
      </c>
      <c r="E397">
        <v>0</v>
      </c>
      <c r="F397">
        <v>0</v>
      </c>
      <c r="G39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97" s="1" t="s">
        <v>47</v>
      </c>
      <c r="I397" s="1" t="s">
        <v>11</v>
      </c>
      <c r="J397" s="1" t="s">
        <v>22</v>
      </c>
      <c r="K397">
        <v>0</v>
      </c>
    </row>
    <row r="398" spans="1:11" x14ac:dyDescent="0.3">
      <c r="A398" s="1" t="s">
        <v>9</v>
      </c>
      <c r="B398">
        <v>9</v>
      </c>
      <c r="C398" t="str" cm="1">
        <f t="array" ref="C398">_xlfn.IFS(
    Dataset[[#This Row],[Age]]&lt;=10, "0-10",
    AND(Dataset[[#This Row],[Age]]&gt;10, Dataset[[#This Row],[Age]]&lt;=18), "11-18",
    AND(Dataset[[#This Row],[Age]]&gt;18, Dataset[[#This Row],[Age]]&lt;=30), "19-30",
    AND(Dataset[[#This Row],[Age]]&gt;30, Dataset[[#This Row],[Age]]&lt;=60), "31-60",
    Dataset[[#This Row],[Age]]&gt;60, "above 60"
)</f>
        <v>0-10</v>
      </c>
      <c r="D398">
        <v>1</v>
      </c>
      <c r="E398">
        <v>1</v>
      </c>
      <c r="F398">
        <v>0</v>
      </c>
      <c r="G39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398" s="1" t="s">
        <v>41</v>
      </c>
      <c r="I398" s="1" t="s">
        <v>15</v>
      </c>
      <c r="J398" s="1" t="s">
        <v>22</v>
      </c>
      <c r="K398">
        <v>1</v>
      </c>
    </row>
    <row r="399" spans="1:11" x14ac:dyDescent="0.3">
      <c r="A399" s="1" t="s">
        <v>13</v>
      </c>
      <c r="B399">
        <v>50</v>
      </c>
      <c r="C399" t="str" cm="1">
        <f t="array" ref="C399">_xlfn.IFS(
    Dataset[[#This Row],[Age]]&lt;=10, "0-10",
    AND(Dataset[[#This Row],[Age]]&gt;10, Dataset[[#This Row],[Age]]&lt;=18), "11-18",
    AND(Dataset[[#This Row],[Age]]&gt;18, Dataset[[#This Row],[Age]]&lt;=30), "19-30",
    AND(Dataset[[#This Row],[Age]]&gt;30, Dataset[[#This Row],[Age]]&lt;=60), "31-60",
    Dataset[[#This Row],[Age]]&gt;60, "above 60"
)</f>
        <v>31-60</v>
      </c>
      <c r="D399">
        <v>0</v>
      </c>
      <c r="E399">
        <v>0</v>
      </c>
      <c r="F399">
        <v>1</v>
      </c>
      <c r="G39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399" s="1" t="s">
        <v>16</v>
      </c>
      <c r="I399" s="1" t="s">
        <v>11</v>
      </c>
      <c r="J399" s="1" t="s">
        <v>17</v>
      </c>
      <c r="K399">
        <v>0</v>
      </c>
    </row>
    <row r="400" spans="1:11" x14ac:dyDescent="0.3">
      <c r="A400" s="1" t="s">
        <v>9</v>
      </c>
      <c r="B400">
        <v>50</v>
      </c>
      <c r="C400" t="str" cm="1">
        <f t="array" ref="C400">_xlfn.IFS(
    Dataset[[#This Row],[Age]]&lt;=10, "0-10",
    AND(Dataset[[#This Row],[Age]]&gt;10, Dataset[[#This Row],[Age]]&lt;=18), "11-18",
    AND(Dataset[[#This Row],[Age]]&gt;18, Dataset[[#This Row],[Age]]&lt;=30), "19-30",
    AND(Dataset[[#This Row],[Age]]&gt;30, Dataset[[#This Row],[Age]]&lt;=60), "31-60",
    Dataset[[#This Row],[Age]]&gt;60, "above 60"
)</f>
        <v>31-60</v>
      </c>
      <c r="D400">
        <v>1</v>
      </c>
      <c r="E400">
        <v>1</v>
      </c>
      <c r="F400">
        <v>0</v>
      </c>
      <c r="G40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00" s="1" t="s">
        <v>30</v>
      </c>
      <c r="I400" s="1" t="s">
        <v>15</v>
      </c>
      <c r="J400" s="1" t="s">
        <v>22</v>
      </c>
      <c r="K400">
        <v>1</v>
      </c>
    </row>
    <row r="401" spans="1:11" x14ac:dyDescent="0.3">
      <c r="A401" s="1" t="s">
        <v>13</v>
      </c>
      <c r="B401">
        <v>14</v>
      </c>
      <c r="C401" t="str" cm="1">
        <f t="array" ref="C401">_xlfn.IFS(
    Dataset[[#This Row],[Age]]&lt;=10, "0-10",
    AND(Dataset[[#This Row],[Age]]&gt;10, Dataset[[#This Row],[Age]]&lt;=18), "11-18",
    AND(Dataset[[#This Row],[Age]]&gt;18, Dataset[[#This Row],[Age]]&lt;=30), "19-30",
    AND(Dataset[[#This Row],[Age]]&gt;30, Dataset[[#This Row],[Age]]&lt;=60), "31-60",
    Dataset[[#This Row],[Age]]&gt;60, "above 60"
)</f>
        <v>11-18</v>
      </c>
      <c r="D401">
        <v>0</v>
      </c>
      <c r="E401">
        <v>0</v>
      </c>
      <c r="F401">
        <v>0</v>
      </c>
      <c r="G40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01" s="1" t="s">
        <v>40</v>
      </c>
      <c r="I401" s="1" t="s">
        <v>11</v>
      </c>
      <c r="J401" s="1" t="s">
        <v>12</v>
      </c>
      <c r="K401">
        <v>0</v>
      </c>
    </row>
    <row r="402" spans="1:11" x14ac:dyDescent="0.3">
      <c r="A402" s="1" t="s">
        <v>9</v>
      </c>
      <c r="B402">
        <v>40</v>
      </c>
      <c r="C402" t="str" cm="1">
        <f t="array" ref="C402">_xlfn.IFS(
    Dataset[[#This Row],[Age]]&lt;=10, "0-10",
    AND(Dataset[[#This Row],[Age]]&gt;10, Dataset[[#This Row],[Age]]&lt;=18), "11-18",
    AND(Dataset[[#This Row],[Age]]&gt;18, Dataset[[#This Row],[Age]]&lt;=30), "19-30",
    AND(Dataset[[#This Row],[Age]]&gt;30, Dataset[[#This Row],[Age]]&lt;=60), "31-60",
    Dataset[[#This Row],[Age]]&gt;60, "above 60"
)</f>
        <v>31-60</v>
      </c>
      <c r="D402">
        <v>0</v>
      </c>
      <c r="E402">
        <v>0</v>
      </c>
      <c r="F402">
        <v>1</v>
      </c>
      <c r="G40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02" s="1" t="s">
        <v>10</v>
      </c>
      <c r="I402" s="1" t="s">
        <v>15</v>
      </c>
      <c r="J402" s="1" t="s">
        <v>17</v>
      </c>
      <c r="K402">
        <v>0</v>
      </c>
    </row>
    <row r="403" spans="1:11" x14ac:dyDescent="0.3">
      <c r="A403" s="1" t="s">
        <v>9</v>
      </c>
      <c r="B403">
        <v>62</v>
      </c>
      <c r="C403" t="str" cm="1">
        <f t="array" ref="C403">_xlfn.IFS(
    Dataset[[#This Row],[Age]]&lt;=10, "0-10",
    AND(Dataset[[#This Row],[Age]]&gt;10, Dataset[[#This Row],[Age]]&lt;=18), "11-18",
    AND(Dataset[[#This Row],[Age]]&gt;18, Dataset[[#This Row],[Age]]&lt;=30), "19-30",
    AND(Dataset[[#This Row],[Age]]&gt;30, Dataset[[#This Row],[Age]]&lt;=60), "31-60",
    Dataset[[#This Row],[Age]]&gt;60, "above 60"
)</f>
        <v>above 60</v>
      </c>
      <c r="D403">
        <v>0</v>
      </c>
      <c r="E403">
        <v>0</v>
      </c>
      <c r="F403">
        <v>1</v>
      </c>
      <c r="G40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03" s="1" t="s">
        <v>14</v>
      </c>
      <c r="I403" s="1" t="s">
        <v>11</v>
      </c>
      <c r="J403" s="1" t="s">
        <v>12</v>
      </c>
      <c r="K403">
        <v>0</v>
      </c>
    </row>
    <row r="404" spans="1:11" x14ac:dyDescent="0.3">
      <c r="A404" s="1" t="s">
        <v>9</v>
      </c>
      <c r="B404">
        <v>40</v>
      </c>
      <c r="C404" t="str" cm="1">
        <f t="array" ref="C404">_xlfn.IFS(
    Dataset[[#This Row],[Age]]&lt;=10, "0-10",
    AND(Dataset[[#This Row],[Age]]&gt;10, Dataset[[#This Row],[Age]]&lt;=18), "11-18",
    AND(Dataset[[#This Row],[Age]]&gt;18, Dataset[[#This Row],[Age]]&lt;=30), "19-30",
    AND(Dataset[[#This Row],[Age]]&gt;30, Dataset[[#This Row],[Age]]&lt;=60), "31-60",
    Dataset[[#This Row],[Age]]&gt;60, "above 60"
)</f>
        <v>31-60</v>
      </c>
      <c r="D404">
        <v>1</v>
      </c>
      <c r="E404">
        <v>1</v>
      </c>
      <c r="F404">
        <v>1</v>
      </c>
      <c r="G40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04" s="1" t="s">
        <v>14</v>
      </c>
      <c r="I404" s="1" t="s">
        <v>15</v>
      </c>
      <c r="J404" s="1" t="s">
        <v>17</v>
      </c>
      <c r="K404">
        <v>1</v>
      </c>
    </row>
    <row r="405" spans="1:11" x14ac:dyDescent="0.3">
      <c r="A405" s="1" t="s">
        <v>13</v>
      </c>
      <c r="B405">
        <v>24</v>
      </c>
      <c r="C405" t="str" cm="1">
        <f t="array" ref="C405">_xlfn.IFS(
    Dataset[[#This Row],[Age]]&lt;=10, "0-10",
    AND(Dataset[[#This Row],[Age]]&gt;10, Dataset[[#This Row],[Age]]&lt;=18), "11-18",
    AND(Dataset[[#This Row],[Age]]&gt;18, Dataset[[#This Row],[Age]]&lt;=30), "19-30",
    AND(Dataset[[#This Row],[Age]]&gt;30, Dataset[[#This Row],[Age]]&lt;=60), "31-60",
    Dataset[[#This Row],[Age]]&gt;60, "above 60"
)</f>
        <v>19-30</v>
      </c>
      <c r="D405">
        <v>0</v>
      </c>
      <c r="E405">
        <v>0</v>
      </c>
      <c r="F405">
        <v>1</v>
      </c>
      <c r="G40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05" s="1" t="s">
        <v>23</v>
      </c>
      <c r="I405" s="1" t="s">
        <v>11</v>
      </c>
      <c r="J405" s="1" t="s">
        <v>22</v>
      </c>
      <c r="K405">
        <v>0</v>
      </c>
    </row>
    <row r="406" spans="1:11" x14ac:dyDescent="0.3">
      <c r="A406" s="1" t="s">
        <v>13</v>
      </c>
      <c r="B406">
        <v>21</v>
      </c>
      <c r="C406" t="str" cm="1">
        <f t="array" ref="C406">_xlfn.IFS(
    Dataset[[#This Row],[Age]]&lt;=10, "0-10",
    AND(Dataset[[#This Row],[Age]]&gt;10, Dataset[[#This Row],[Age]]&lt;=18), "11-18",
    AND(Dataset[[#This Row],[Age]]&gt;18, Dataset[[#This Row],[Age]]&lt;=30), "19-30",
    AND(Dataset[[#This Row],[Age]]&gt;30, Dataset[[#This Row],[Age]]&lt;=60), "31-60",
    Dataset[[#This Row],[Age]]&gt;60, "above 60"
)</f>
        <v>19-30</v>
      </c>
      <c r="D406">
        <v>0</v>
      </c>
      <c r="E406">
        <v>0</v>
      </c>
      <c r="F406">
        <v>1</v>
      </c>
      <c r="G40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06" s="1" t="s">
        <v>37</v>
      </c>
      <c r="I406" s="1" t="s">
        <v>15</v>
      </c>
      <c r="J406" s="1" t="s">
        <v>17</v>
      </c>
      <c r="K406">
        <v>0</v>
      </c>
    </row>
    <row r="407" spans="1:11" x14ac:dyDescent="0.3">
      <c r="A407" s="1" t="s">
        <v>13</v>
      </c>
      <c r="B407">
        <v>62</v>
      </c>
      <c r="C407" t="str" cm="1">
        <f t="array" ref="C407">_xlfn.IFS(
    Dataset[[#This Row],[Age]]&lt;=10, "0-10",
    AND(Dataset[[#This Row],[Age]]&gt;10, Dataset[[#This Row],[Age]]&lt;=18), "11-18",
    AND(Dataset[[#This Row],[Age]]&gt;18, Dataset[[#This Row],[Age]]&lt;=30), "19-30",
    AND(Dataset[[#This Row],[Age]]&gt;30, Dataset[[#This Row],[Age]]&lt;=60), "31-60",
    Dataset[[#This Row],[Age]]&gt;60, "above 60"
)</f>
        <v>above 60</v>
      </c>
      <c r="D407">
        <v>1</v>
      </c>
      <c r="E407">
        <v>1</v>
      </c>
      <c r="F407">
        <v>0</v>
      </c>
      <c r="G40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07" s="1" t="s">
        <v>26</v>
      </c>
      <c r="I407" s="1" t="s">
        <v>11</v>
      </c>
      <c r="J407" s="1" t="s">
        <v>17</v>
      </c>
      <c r="K407">
        <v>1</v>
      </c>
    </row>
    <row r="408" spans="1:11" x14ac:dyDescent="0.3">
      <c r="A408" s="1" t="s">
        <v>13</v>
      </c>
      <c r="B408">
        <v>16</v>
      </c>
      <c r="C408" t="str" cm="1">
        <f t="array" ref="C408">_xlfn.IFS(
    Dataset[[#This Row],[Age]]&lt;=10, "0-10",
    AND(Dataset[[#This Row],[Age]]&gt;10, Dataset[[#This Row],[Age]]&lt;=18), "11-18",
    AND(Dataset[[#This Row],[Age]]&gt;18, Dataset[[#This Row],[Age]]&lt;=30), "19-30",
    AND(Dataset[[#This Row],[Age]]&gt;30, Dataset[[#This Row],[Age]]&lt;=60), "31-60",
    Dataset[[#This Row],[Age]]&gt;60, "above 60"
)</f>
        <v>11-18</v>
      </c>
      <c r="D408">
        <v>1</v>
      </c>
      <c r="E408">
        <v>1</v>
      </c>
      <c r="F408">
        <v>1</v>
      </c>
      <c r="G40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08" s="1" t="s">
        <v>14</v>
      </c>
      <c r="I408" s="1" t="s">
        <v>15</v>
      </c>
      <c r="J408" s="1" t="s">
        <v>12</v>
      </c>
      <c r="K408">
        <v>1</v>
      </c>
    </row>
    <row r="409" spans="1:11" x14ac:dyDescent="0.3">
      <c r="A409" s="1" t="s">
        <v>13</v>
      </c>
      <c r="B409">
        <v>11</v>
      </c>
      <c r="C409" t="str" cm="1">
        <f t="array" ref="C409">_xlfn.IFS(
    Dataset[[#This Row],[Age]]&lt;=10, "0-10",
    AND(Dataset[[#This Row],[Age]]&gt;10, Dataset[[#This Row],[Age]]&lt;=18), "11-18",
    AND(Dataset[[#This Row],[Age]]&gt;18, Dataset[[#This Row],[Age]]&lt;=30), "19-30",
    AND(Dataset[[#This Row],[Age]]&gt;30, Dataset[[#This Row],[Age]]&lt;=60), "31-60",
    Dataset[[#This Row],[Age]]&gt;60, "above 60"
)</f>
        <v>11-18</v>
      </c>
      <c r="D409">
        <v>0</v>
      </c>
      <c r="E409">
        <v>0</v>
      </c>
      <c r="F409">
        <v>0</v>
      </c>
      <c r="G40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09" s="1" t="s">
        <v>34</v>
      </c>
      <c r="I409" s="1" t="s">
        <v>11</v>
      </c>
      <c r="J409" s="1" t="s">
        <v>12</v>
      </c>
      <c r="K409">
        <v>0</v>
      </c>
    </row>
    <row r="410" spans="1:11" x14ac:dyDescent="0.3">
      <c r="A410" s="1" t="s">
        <v>13</v>
      </c>
      <c r="B410">
        <v>30</v>
      </c>
      <c r="C410" t="str" cm="1">
        <f t="array" ref="C410">_xlfn.IFS(
    Dataset[[#This Row],[Age]]&lt;=10, "0-10",
    AND(Dataset[[#This Row],[Age]]&gt;10, Dataset[[#This Row],[Age]]&lt;=18), "11-18",
    AND(Dataset[[#This Row],[Age]]&gt;18, Dataset[[#This Row],[Age]]&lt;=30), "19-30",
    AND(Dataset[[#This Row],[Age]]&gt;30, Dataset[[#This Row],[Age]]&lt;=60), "31-60",
    Dataset[[#This Row],[Age]]&gt;60, "above 60"
)</f>
        <v>19-30</v>
      </c>
      <c r="D410">
        <v>1</v>
      </c>
      <c r="E410">
        <v>1</v>
      </c>
      <c r="F410">
        <v>0</v>
      </c>
      <c r="G41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10" s="1" t="s">
        <v>14</v>
      </c>
      <c r="I410" s="1" t="s">
        <v>15</v>
      </c>
      <c r="J410" s="1" t="s">
        <v>17</v>
      </c>
      <c r="K410">
        <v>1</v>
      </c>
    </row>
    <row r="411" spans="1:11" x14ac:dyDescent="0.3">
      <c r="A411" s="1" t="s">
        <v>13</v>
      </c>
      <c r="B411">
        <v>55</v>
      </c>
      <c r="C411" t="str" cm="1">
        <f t="array" ref="C411">_xlfn.IFS(
    Dataset[[#This Row],[Age]]&lt;=10, "0-10",
    AND(Dataset[[#This Row],[Age]]&gt;10, Dataset[[#This Row],[Age]]&lt;=18), "11-18",
    AND(Dataset[[#This Row],[Age]]&gt;18, Dataset[[#This Row],[Age]]&lt;=30), "19-30",
    AND(Dataset[[#This Row],[Age]]&gt;30, Dataset[[#This Row],[Age]]&lt;=60), "31-60",
    Dataset[[#This Row],[Age]]&gt;60, "above 60"
)</f>
        <v>31-60</v>
      </c>
      <c r="D411">
        <v>0</v>
      </c>
      <c r="E411">
        <v>0</v>
      </c>
      <c r="F411">
        <v>0</v>
      </c>
      <c r="G41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11" s="1" t="s">
        <v>27</v>
      </c>
      <c r="I411" s="1" t="s">
        <v>11</v>
      </c>
      <c r="J411" s="1" t="s">
        <v>22</v>
      </c>
      <c r="K411">
        <v>0</v>
      </c>
    </row>
    <row r="412" spans="1:11" x14ac:dyDescent="0.3">
      <c r="A412" s="1" t="s">
        <v>13</v>
      </c>
      <c r="B412">
        <v>24</v>
      </c>
      <c r="C412" t="str" cm="1">
        <f t="array" ref="C412">_xlfn.IFS(
    Dataset[[#This Row],[Age]]&lt;=10, "0-10",
    AND(Dataset[[#This Row],[Age]]&gt;10, Dataset[[#This Row],[Age]]&lt;=18), "11-18",
    AND(Dataset[[#This Row],[Age]]&gt;18, Dataset[[#This Row],[Age]]&lt;=30), "19-30",
    AND(Dataset[[#This Row],[Age]]&gt;30, Dataset[[#This Row],[Age]]&lt;=60), "31-60",
    Dataset[[#This Row],[Age]]&gt;60, "above 60"
)</f>
        <v>19-30</v>
      </c>
      <c r="D412">
        <v>0</v>
      </c>
      <c r="E412">
        <v>0</v>
      </c>
      <c r="F412">
        <v>1</v>
      </c>
      <c r="G41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12" s="1" t="s">
        <v>39</v>
      </c>
      <c r="I412" s="1" t="s">
        <v>15</v>
      </c>
      <c r="J412" s="1" t="s">
        <v>17</v>
      </c>
      <c r="K412">
        <v>0</v>
      </c>
    </row>
    <row r="413" spans="1:11" x14ac:dyDescent="0.3">
      <c r="A413" s="1" t="s">
        <v>9</v>
      </c>
      <c r="B413">
        <v>54</v>
      </c>
      <c r="C413" t="str" cm="1">
        <f t="array" ref="C413">_xlfn.IFS(
    Dataset[[#This Row],[Age]]&lt;=10, "0-10",
    AND(Dataset[[#This Row],[Age]]&gt;10, Dataset[[#This Row],[Age]]&lt;=18), "11-18",
    AND(Dataset[[#This Row],[Age]]&gt;18, Dataset[[#This Row],[Age]]&lt;=30), "19-30",
    AND(Dataset[[#This Row],[Age]]&gt;30, Dataset[[#This Row],[Age]]&lt;=60), "31-60",
    Dataset[[#This Row],[Age]]&gt;60, "above 60"
)</f>
        <v>31-60</v>
      </c>
      <c r="D413">
        <v>0</v>
      </c>
      <c r="E413">
        <v>0</v>
      </c>
      <c r="F413">
        <v>1</v>
      </c>
      <c r="G41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13" s="1" t="s">
        <v>51</v>
      </c>
      <c r="I413" s="1" t="s">
        <v>11</v>
      </c>
      <c r="J413" s="1" t="s">
        <v>17</v>
      </c>
      <c r="K413">
        <v>0</v>
      </c>
    </row>
    <row r="414" spans="1:11" x14ac:dyDescent="0.3">
      <c r="A414" s="1" t="s">
        <v>13</v>
      </c>
      <c r="B414">
        <v>29</v>
      </c>
      <c r="C414" t="str" cm="1">
        <f t="array" ref="C414">_xlfn.IFS(
    Dataset[[#This Row],[Age]]&lt;=10, "0-10",
    AND(Dataset[[#This Row],[Age]]&gt;10, Dataset[[#This Row],[Age]]&lt;=18), "11-18",
    AND(Dataset[[#This Row],[Age]]&gt;18, Dataset[[#This Row],[Age]]&lt;=30), "19-30",
    AND(Dataset[[#This Row],[Age]]&gt;30, Dataset[[#This Row],[Age]]&lt;=60), "31-60",
    Dataset[[#This Row],[Age]]&gt;60, "above 60"
)</f>
        <v>19-30</v>
      </c>
      <c r="D414">
        <v>1</v>
      </c>
      <c r="E414">
        <v>1</v>
      </c>
      <c r="F414">
        <v>0</v>
      </c>
      <c r="G41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14" s="1" t="s">
        <v>42</v>
      </c>
      <c r="I414" s="1" t="s">
        <v>15</v>
      </c>
      <c r="J414" s="1" t="s">
        <v>22</v>
      </c>
      <c r="K414">
        <v>1</v>
      </c>
    </row>
    <row r="415" spans="1:11" x14ac:dyDescent="0.3">
      <c r="A415" s="1" t="s">
        <v>9</v>
      </c>
      <c r="B415">
        <v>20</v>
      </c>
      <c r="C415" t="str" cm="1">
        <f t="array" ref="C415">_xlfn.IFS(
    Dataset[[#This Row],[Age]]&lt;=10, "0-10",
    AND(Dataset[[#This Row],[Age]]&gt;10, Dataset[[#This Row],[Age]]&lt;=18), "11-18",
    AND(Dataset[[#This Row],[Age]]&gt;18, Dataset[[#This Row],[Age]]&lt;=30), "19-30",
    AND(Dataset[[#This Row],[Age]]&gt;30, Dataset[[#This Row],[Age]]&lt;=60), "31-60",
    Dataset[[#This Row],[Age]]&gt;60, "above 60"
)</f>
        <v>19-30</v>
      </c>
      <c r="D415">
        <v>0</v>
      </c>
      <c r="E415">
        <v>0</v>
      </c>
      <c r="F415">
        <v>1</v>
      </c>
      <c r="G41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15" s="1" t="s">
        <v>27</v>
      </c>
      <c r="I415" s="1" t="s">
        <v>11</v>
      </c>
      <c r="J415" s="1" t="s">
        <v>22</v>
      </c>
      <c r="K415">
        <v>0</v>
      </c>
    </row>
    <row r="416" spans="1:11" x14ac:dyDescent="0.3">
      <c r="A416" s="1" t="s">
        <v>13</v>
      </c>
      <c r="B416">
        <v>57</v>
      </c>
      <c r="C416" t="str" cm="1">
        <f t="array" ref="C416">_xlfn.IFS(
    Dataset[[#This Row],[Age]]&lt;=10, "0-10",
    AND(Dataset[[#This Row],[Age]]&gt;10, Dataset[[#This Row],[Age]]&lt;=18), "11-18",
    AND(Dataset[[#This Row],[Age]]&gt;18, Dataset[[#This Row],[Age]]&lt;=30), "19-30",
    AND(Dataset[[#This Row],[Age]]&gt;30, Dataset[[#This Row],[Age]]&lt;=60), "31-60",
    Dataset[[#This Row],[Age]]&gt;60, "above 60"
)</f>
        <v>31-60</v>
      </c>
      <c r="D416">
        <v>1</v>
      </c>
      <c r="E416">
        <v>1</v>
      </c>
      <c r="F416">
        <v>1</v>
      </c>
      <c r="G41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16" s="1" t="s">
        <v>44</v>
      </c>
      <c r="I416" s="1" t="s">
        <v>15</v>
      </c>
      <c r="J416" s="1" t="s">
        <v>22</v>
      </c>
      <c r="K416">
        <v>1</v>
      </c>
    </row>
    <row r="417" spans="1:11" x14ac:dyDescent="0.3">
      <c r="A417" s="1" t="s">
        <v>13</v>
      </c>
      <c r="B417">
        <v>62</v>
      </c>
      <c r="C417" t="str" cm="1">
        <f t="array" ref="C417">_xlfn.IFS(
    Dataset[[#This Row],[Age]]&lt;=10, "0-10",
    AND(Dataset[[#This Row],[Age]]&gt;10, Dataset[[#This Row],[Age]]&lt;=18), "11-18",
    AND(Dataset[[#This Row],[Age]]&gt;18, Dataset[[#This Row],[Age]]&lt;=30), "19-30",
    AND(Dataset[[#This Row],[Age]]&gt;30, Dataset[[#This Row],[Age]]&lt;=60), "31-60",
    Dataset[[#This Row],[Age]]&gt;60, "above 60"
)</f>
        <v>above 60</v>
      </c>
      <c r="D417">
        <v>0</v>
      </c>
      <c r="E417">
        <v>0</v>
      </c>
      <c r="F417">
        <v>1</v>
      </c>
      <c r="G41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17" s="1" t="s">
        <v>45</v>
      </c>
      <c r="I417" s="1" t="s">
        <v>11</v>
      </c>
      <c r="J417" s="1" t="s">
        <v>17</v>
      </c>
      <c r="K417">
        <v>0</v>
      </c>
    </row>
    <row r="418" spans="1:11" x14ac:dyDescent="0.3">
      <c r="A418" s="1" t="s">
        <v>9</v>
      </c>
      <c r="B418">
        <v>35</v>
      </c>
      <c r="C418" t="str" cm="1">
        <f t="array" ref="C418">_xlfn.IFS(
    Dataset[[#This Row],[Age]]&lt;=10, "0-10",
    AND(Dataset[[#This Row],[Age]]&gt;10, Dataset[[#This Row],[Age]]&lt;=18), "11-18",
    AND(Dataset[[#This Row],[Age]]&gt;18, Dataset[[#This Row],[Age]]&lt;=30), "19-30",
    AND(Dataset[[#This Row],[Age]]&gt;30, Dataset[[#This Row],[Age]]&lt;=60), "31-60",
    Dataset[[#This Row],[Age]]&gt;60, "above 60"
)</f>
        <v>31-60</v>
      </c>
      <c r="D418">
        <v>0</v>
      </c>
      <c r="E418">
        <v>0</v>
      </c>
      <c r="F418">
        <v>1</v>
      </c>
      <c r="G41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18" s="1" t="s">
        <v>45</v>
      </c>
      <c r="I418" s="1" t="s">
        <v>15</v>
      </c>
      <c r="J418" s="1" t="s">
        <v>22</v>
      </c>
      <c r="K418">
        <v>0</v>
      </c>
    </row>
    <row r="419" spans="1:11" x14ac:dyDescent="0.3">
      <c r="A419" s="1" t="s">
        <v>9</v>
      </c>
      <c r="B419">
        <v>22</v>
      </c>
      <c r="C419" t="str" cm="1">
        <f t="array" ref="C419">_xlfn.IFS(
    Dataset[[#This Row],[Age]]&lt;=10, "0-10",
    AND(Dataset[[#This Row],[Age]]&gt;10, Dataset[[#This Row],[Age]]&lt;=18), "11-18",
    AND(Dataset[[#This Row],[Age]]&gt;18, Dataset[[#This Row],[Age]]&lt;=30), "19-30",
    AND(Dataset[[#This Row],[Age]]&gt;30, Dataset[[#This Row],[Age]]&lt;=60), "31-60",
    Dataset[[#This Row],[Age]]&gt;60, "above 60"
)</f>
        <v>19-30</v>
      </c>
      <c r="D419">
        <v>1</v>
      </c>
      <c r="E419">
        <v>1</v>
      </c>
      <c r="F419">
        <v>1</v>
      </c>
      <c r="G41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19" s="1" t="s">
        <v>10</v>
      </c>
      <c r="I419" s="1" t="s">
        <v>11</v>
      </c>
      <c r="J419" s="1" t="s">
        <v>17</v>
      </c>
      <c r="K419">
        <v>1</v>
      </c>
    </row>
    <row r="420" spans="1:11" x14ac:dyDescent="0.3">
      <c r="A420" s="1" t="s">
        <v>13</v>
      </c>
      <c r="B420">
        <v>14</v>
      </c>
      <c r="C420" t="str" cm="1">
        <f t="array" ref="C420">_xlfn.IFS(
    Dataset[[#This Row],[Age]]&lt;=10, "0-10",
    AND(Dataset[[#This Row],[Age]]&gt;10, Dataset[[#This Row],[Age]]&lt;=18), "11-18",
    AND(Dataset[[#This Row],[Age]]&gt;18, Dataset[[#This Row],[Age]]&lt;=30), "19-30",
    AND(Dataset[[#This Row],[Age]]&gt;30, Dataset[[#This Row],[Age]]&lt;=60), "31-60",
    Dataset[[#This Row],[Age]]&gt;60, "above 60"
)</f>
        <v>11-18</v>
      </c>
      <c r="D420">
        <v>1</v>
      </c>
      <c r="E420">
        <v>1</v>
      </c>
      <c r="F420">
        <v>1</v>
      </c>
      <c r="G42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20" s="1" t="s">
        <v>46</v>
      </c>
      <c r="I420" s="1" t="s">
        <v>15</v>
      </c>
      <c r="J420" s="1" t="s">
        <v>12</v>
      </c>
      <c r="K420">
        <v>1</v>
      </c>
    </row>
    <row r="421" spans="1:11" x14ac:dyDescent="0.3">
      <c r="A421" s="1" t="s">
        <v>9</v>
      </c>
      <c r="B421">
        <v>40</v>
      </c>
      <c r="C421" t="str" cm="1">
        <f t="array" ref="C421">_xlfn.IFS(
    Dataset[[#This Row],[Age]]&lt;=10, "0-10",
    AND(Dataset[[#This Row],[Age]]&gt;10, Dataset[[#This Row],[Age]]&lt;=18), "11-18",
    AND(Dataset[[#This Row],[Age]]&gt;18, Dataset[[#This Row],[Age]]&lt;=30), "19-30",
    AND(Dataset[[#This Row],[Age]]&gt;30, Dataset[[#This Row],[Age]]&lt;=60), "31-60",
    Dataset[[#This Row],[Age]]&gt;60, "above 60"
)</f>
        <v>31-60</v>
      </c>
      <c r="D421">
        <v>1</v>
      </c>
      <c r="E421">
        <v>1</v>
      </c>
      <c r="F421">
        <v>0</v>
      </c>
      <c r="G42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21" s="1" t="s">
        <v>45</v>
      </c>
      <c r="I421" s="1" t="s">
        <v>11</v>
      </c>
      <c r="J421" s="1" t="s">
        <v>12</v>
      </c>
      <c r="K421">
        <v>1</v>
      </c>
    </row>
    <row r="422" spans="1:11" x14ac:dyDescent="0.3">
      <c r="A422" s="1" t="s">
        <v>9</v>
      </c>
      <c r="B422">
        <v>46</v>
      </c>
      <c r="C422" t="str" cm="1">
        <f t="array" ref="C422">_xlfn.IFS(
    Dataset[[#This Row],[Age]]&lt;=10, "0-10",
    AND(Dataset[[#This Row],[Age]]&gt;10, Dataset[[#This Row],[Age]]&lt;=18), "11-18",
    AND(Dataset[[#This Row],[Age]]&gt;18, Dataset[[#This Row],[Age]]&lt;=30), "19-30",
    AND(Dataset[[#This Row],[Age]]&gt;30, Dataset[[#This Row],[Age]]&lt;=60), "31-60",
    Dataset[[#This Row],[Age]]&gt;60, "above 60"
)</f>
        <v>31-60</v>
      </c>
      <c r="D422">
        <v>1</v>
      </c>
      <c r="E422">
        <v>1</v>
      </c>
      <c r="F422">
        <v>0</v>
      </c>
      <c r="G42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22" s="1" t="s">
        <v>31</v>
      </c>
      <c r="I422" s="1" t="s">
        <v>15</v>
      </c>
      <c r="J422" s="1" t="s">
        <v>17</v>
      </c>
      <c r="K422">
        <v>1</v>
      </c>
    </row>
    <row r="423" spans="1:11" x14ac:dyDescent="0.3">
      <c r="A423" s="1" t="s">
        <v>9</v>
      </c>
      <c r="B423">
        <v>21</v>
      </c>
      <c r="C423" t="str" cm="1">
        <f t="array" ref="C423">_xlfn.IFS(
    Dataset[[#This Row],[Age]]&lt;=10, "0-10",
    AND(Dataset[[#This Row],[Age]]&gt;10, Dataset[[#This Row],[Age]]&lt;=18), "11-18",
    AND(Dataset[[#This Row],[Age]]&gt;18, Dataset[[#This Row],[Age]]&lt;=30), "19-30",
    AND(Dataset[[#This Row],[Age]]&gt;30, Dataset[[#This Row],[Age]]&lt;=60), "31-60",
    Dataset[[#This Row],[Age]]&gt;60, "above 60"
)</f>
        <v>19-30</v>
      </c>
      <c r="D423">
        <v>0</v>
      </c>
      <c r="E423">
        <v>0</v>
      </c>
      <c r="F423">
        <v>1</v>
      </c>
      <c r="G42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23" s="1" t="s">
        <v>21</v>
      </c>
      <c r="I423" s="1" t="s">
        <v>11</v>
      </c>
      <c r="J423" s="1" t="s">
        <v>22</v>
      </c>
      <c r="K423">
        <v>0</v>
      </c>
    </row>
    <row r="424" spans="1:11" x14ac:dyDescent="0.3">
      <c r="A424" s="1" t="s">
        <v>13</v>
      </c>
      <c r="B424">
        <v>38</v>
      </c>
      <c r="C424" t="str" cm="1">
        <f t="array" ref="C424">_xlfn.IFS(
    Dataset[[#This Row],[Age]]&lt;=10, "0-10",
    AND(Dataset[[#This Row],[Age]]&gt;10, Dataset[[#This Row],[Age]]&lt;=18), "11-18",
    AND(Dataset[[#This Row],[Age]]&gt;18, Dataset[[#This Row],[Age]]&lt;=30), "19-30",
    AND(Dataset[[#This Row],[Age]]&gt;30, Dataset[[#This Row],[Age]]&lt;=60), "31-60",
    Dataset[[#This Row],[Age]]&gt;60, "above 60"
)</f>
        <v>31-60</v>
      </c>
      <c r="D424">
        <v>0</v>
      </c>
      <c r="E424">
        <v>0</v>
      </c>
      <c r="F424">
        <v>1</v>
      </c>
      <c r="G42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24" s="1" t="s">
        <v>37</v>
      </c>
      <c r="I424" s="1" t="s">
        <v>15</v>
      </c>
      <c r="J424" s="1" t="s">
        <v>12</v>
      </c>
      <c r="K424">
        <v>0</v>
      </c>
    </row>
    <row r="425" spans="1:11" x14ac:dyDescent="0.3">
      <c r="A425" s="1" t="s">
        <v>13</v>
      </c>
      <c r="B425">
        <v>23</v>
      </c>
      <c r="C425" t="str" cm="1">
        <f t="array" ref="C425">_xlfn.IFS(
    Dataset[[#This Row],[Age]]&lt;=10, "0-10",
    AND(Dataset[[#This Row],[Age]]&gt;10, Dataset[[#This Row],[Age]]&lt;=18), "11-18",
    AND(Dataset[[#This Row],[Age]]&gt;18, Dataset[[#This Row],[Age]]&lt;=30), "19-30",
    AND(Dataset[[#This Row],[Age]]&gt;30, Dataset[[#This Row],[Age]]&lt;=60), "31-60",
    Dataset[[#This Row],[Age]]&gt;60, "above 60"
)</f>
        <v>19-30</v>
      </c>
      <c r="D425">
        <v>1</v>
      </c>
      <c r="E425">
        <v>1</v>
      </c>
      <c r="F425">
        <v>1</v>
      </c>
      <c r="G42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25" s="1" t="s">
        <v>48</v>
      </c>
      <c r="I425" s="1" t="s">
        <v>11</v>
      </c>
      <c r="J425" s="1" t="s">
        <v>12</v>
      </c>
      <c r="K425">
        <v>1</v>
      </c>
    </row>
    <row r="426" spans="1:11" x14ac:dyDescent="0.3">
      <c r="A426" s="1" t="s">
        <v>9</v>
      </c>
      <c r="B426">
        <v>15</v>
      </c>
      <c r="C426" t="str" cm="1">
        <f t="array" ref="C426">_xlfn.IFS(
    Dataset[[#This Row],[Age]]&lt;=10, "0-10",
    AND(Dataset[[#This Row],[Age]]&gt;10, Dataset[[#This Row],[Age]]&lt;=18), "11-18",
    AND(Dataset[[#This Row],[Age]]&gt;18, Dataset[[#This Row],[Age]]&lt;=30), "19-30",
    AND(Dataset[[#This Row],[Age]]&gt;30, Dataset[[#This Row],[Age]]&lt;=60), "31-60",
    Dataset[[#This Row],[Age]]&gt;60, "above 60"
)</f>
        <v>11-18</v>
      </c>
      <c r="D426">
        <v>0</v>
      </c>
      <c r="E426">
        <v>0</v>
      </c>
      <c r="F426">
        <v>0</v>
      </c>
      <c r="G42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26" s="1" t="s">
        <v>10</v>
      </c>
      <c r="I426" s="1" t="s">
        <v>15</v>
      </c>
      <c r="J426" s="1" t="s">
        <v>17</v>
      </c>
      <c r="K426">
        <v>0</v>
      </c>
    </row>
    <row r="427" spans="1:11" x14ac:dyDescent="0.3">
      <c r="A427" s="1" t="s">
        <v>9</v>
      </c>
      <c r="B427">
        <v>21</v>
      </c>
      <c r="C427" t="str" cm="1">
        <f t="array" ref="C427">_xlfn.IFS(
    Dataset[[#This Row],[Age]]&lt;=10, "0-10",
    AND(Dataset[[#This Row],[Age]]&gt;10, Dataset[[#This Row],[Age]]&lt;=18), "11-18",
    AND(Dataset[[#This Row],[Age]]&gt;18, Dataset[[#This Row],[Age]]&lt;=30), "19-30",
    AND(Dataset[[#This Row],[Age]]&gt;30, Dataset[[#This Row],[Age]]&lt;=60), "31-60",
    Dataset[[#This Row],[Age]]&gt;60, "above 60"
)</f>
        <v>19-30</v>
      </c>
      <c r="D427">
        <v>0</v>
      </c>
      <c r="E427">
        <v>0</v>
      </c>
      <c r="F427">
        <v>0</v>
      </c>
      <c r="G42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27" s="1" t="s">
        <v>30</v>
      </c>
      <c r="I427" s="1" t="s">
        <v>11</v>
      </c>
      <c r="J427" s="1" t="s">
        <v>17</v>
      </c>
      <c r="K427">
        <v>0</v>
      </c>
    </row>
    <row r="428" spans="1:11" x14ac:dyDescent="0.3">
      <c r="A428" s="1" t="s">
        <v>9</v>
      </c>
      <c r="B428">
        <v>31</v>
      </c>
      <c r="C428" t="str" cm="1">
        <f t="array" ref="C428">_xlfn.IFS(
    Dataset[[#This Row],[Age]]&lt;=10, "0-10",
    AND(Dataset[[#This Row],[Age]]&gt;10, Dataset[[#This Row],[Age]]&lt;=18), "11-18",
    AND(Dataset[[#This Row],[Age]]&gt;18, Dataset[[#This Row],[Age]]&lt;=30), "19-30",
    AND(Dataset[[#This Row],[Age]]&gt;30, Dataset[[#This Row],[Age]]&lt;=60), "31-60",
    Dataset[[#This Row],[Age]]&gt;60, "above 60"
)</f>
        <v>31-60</v>
      </c>
      <c r="D428">
        <v>0</v>
      </c>
      <c r="E428">
        <v>0</v>
      </c>
      <c r="F428">
        <v>0</v>
      </c>
      <c r="G42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28" s="1" t="s">
        <v>27</v>
      </c>
      <c r="I428" s="1" t="s">
        <v>15</v>
      </c>
      <c r="J428" s="1" t="s">
        <v>17</v>
      </c>
      <c r="K428">
        <v>0</v>
      </c>
    </row>
    <row r="429" spans="1:11" x14ac:dyDescent="0.3">
      <c r="A429" s="1" t="s">
        <v>9</v>
      </c>
      <c r="B429">
        <v>43</v>
      </c>
      <c r="C429" t="str" cm="1">
        <f t="array" ref="C429">_xlfn.IFS(
    Dataset[[#This Row],[Age]]&lt;=10, "0-10",
    AND(Dataset[[#This Row],[Age]]&gt;10, Dataset[[#This Row],[Age]]&lt;=18), "11-18",
    AND(Dataset[[#This Row],[Age]]&gt;18, Dataset[[#This Row],[Age]]&lt;=30), "19-30",
    AND(Dataset[[#This Row],[Age]]&gt;30, Dataset[[#This Row],[Age]]&lt;=60), "31-60",
    Dataset[[#This Row],[Age]]&gt;60, "above 60"
)</f>
        <v>31-60</v>
      </c>
      <c r="D429">
        <v>1</v>
      </c>
      <c r="E429">
        <v>1</v>
      </c>
      <c r="F429">
        <v>0</v>
      </c>
      <c r="G42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29" s="1" t="s">
        <v>39</v>
      </c>
      <c r="I429" s="1" t="s">
        <v>11</v>
      </c>
      <c r="J429" s="1" t="s">
        <v>22</v>
      </c>
      <c r="K429">
        <v>1</v>
      </c>
    </row>
    <row r="430" spans="1:11" x14ac:dyDescent="0.3">
      <c r="A430" s="1" t="s">
        <v>13</v>
      </c>
      <c r="B430">
        <v>29</v>
      </c>
      <c r="C430" t="str" cm="1">
        <f t="array" ref="C430">_xlfn.IFS(
    Dataset[[#This Row],[Age]]&lt;=10, "0-10",
    AND(Dataset[[#This Row],[Age]]&gt;10, Dataset[[#This Row],[Age]]&lt;=18), "11-18",
    AND(Dataset[[#This Row],[Age]]&gt;18, Dataset[[#This Row],[Age]]&lt;=30), "19-30",
    AND(Dataset[[#This Row],[Age]]&gt;30, Dataset[[#This Row],[Age]]&lt;=60), "31-60",
    Dataset[[#This Row],[Age]]&gt;60, "above 60"
)</f>
        <v>19-30</v>
      </c>
      <c r="D430">
        <v>1</v>
      </c>
      <c r="E430">
        <v>1</v>
      </c>
      <c r="F430">
        <v>0</v>
      </c>
      <c r="G43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30" s="1" t="s">
        <v>36</v>
      </c>
      <c r="I430" s="1" t="s">
        <v>15</v>
      </c>
      <c r="J430" s="1" t="s">
        <v>22</v>
      </c>
      <c r="K430">
        <v>1</v>
      </c>
    </row>
    <row r="431" spans="1:11" x14ac:dyDescent="0.3">
      <c r="A431" s="1" t="s">
        <v>9</v>
      </c>
      <c r="B431">
        <v>58</v>
      </c>
      <c r="C431" t="str" cm="1">
        <f t="array" ref="C431">_xlfn.IFS(
    Dataset[[#This Row],[Age]]&lt;=10, "0-10",
    AND(Dataset[[#This Row],[Age]]&gt;10, Dataset[[#This Row],[Age]]&lt;=18), "11-18",
    AND(Dataset[[#This Row],[Age]]&gt;18, Dataset[[#This Row],[Age]]&lt;=30), "19-30",
    AND(Dataset[[#This Row],[Age]]&gt;30, Dataset[[#This Row],[Age]]&lt;=60), "31-60",
    Dataset[[#This Row],[Age]]&gt;60, "above 60"
)</f>
        <v>31-60</v>
      </c>
      <c r="D431">
        <v>0</v>
      </c>
      <c r="E431">
        <v>0</v>
      </c>
      <c r="F431">
        <v>1</v>
      </c>
      <c r="G43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31" s="1" t="s">
        <v>35</v>
      </c>
      <c r="I431" s="1" t="s">
        <v>11</v>
      </c>
      <c r="J431" s="1" t="s">
        <v>12</v>
      </c>
      <c r="K431">
        <v>0</v>
      </c>
    </row>
    <row r="432" spans="1:11" x14ac:dyDescent="0.3">
      <c r="A432" s="1" t="s">
        <v>13</v>
      </c>
      <c r="B432">
        <v>27</v>
      </c>
      <c r="C432" t="str" cm="1">
        <f t="array" ref="C432">_xlfn.IFS(
    Dataset[[#This Row],[Age]]&lt;=10, "0-10",
    AND(Dataset[[#This Row],[Age]]&gt;10, Dataset[[#This Row],[Age]]&lt;=18), "11-18",
    AND(Dataset[[#This Row],[Age]]&gt;18, Dataset[[#This Row],[Age]]&lt;=30), "19-30",
    AND(Dataset[[#This Row],[Age]]&gt;30, Dataset[[#This Row],[Age]]&lt;=60), "31-60",
    Dataset[[#This Row],[Age]]&gt;60, "above 60"
)</f>
        <v>19-30</v>
      </c>
      <c r="D432">
        <v>1</v>
      </c>
      <c r="E432">
        <v>1</v>
      </c>
      <c r="F432">
        <v>0</v>
      </c>
      <c r="G43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32" s="1" t="s">
        <v>45</v>
      </c>
      <c r="I432" s="1" t="s">
        <v>15</v>
      </c>
      <c r="J432" s="1" t="s">
        <v>12</v>
      </c>
      <c r="K432">
        <v>1</v>
      </c>
    </row>
    <row r="433" spans="1:11" x14ac:dyDescent="0.3">
      <c r="A433" s="1" t="s">
        <v>13</v>
      </c>
      <c r="B433">
        <v>49</v>
      </c>
      <c r="C433" t="str" cm="1">
        <f t="array" ref="C433">_xlfn.IFS(
    Dataset[[#This Row],[Age]]&lt;=10, "0-10",
    AND(Dataset[[#This Row],[Age]]&gt;10, Dataset[[#This Row],[Age]]&lt;=18), "11-18",
    AND(Dataset[[#This Row],[Age]]&gt;18, Dataset[[#This Row],[Age]]&lt;=30), "19-30",
    AND(Dataset[[#This Row],[Age]]&gt;30, Dataset[[#This Row],[Age]]&lt;=60), "31-60",
    Dataset[[#This Row],[Age]]&gt;60, "above 60"
)</f>
        <v>31-60</v>
      </c>
      <c r="D433">
        <v>0</v>
      </c>
      <c r="E433">
        <v>0</v>
      </c>
      <c r="F433">
        <v>0</v>
      </c>
      <c r="G43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33" s="1" t="s">
        <v>21</v>
      </c>
      <c r="I433" s="1" t="s">
        <v>11</v>
      </c>
      <c r="J433" s="1" t="s">
        <v>12</v>
      </c>
      <c r="K433">
        <v>0</v>
      </c>
    </row>
    <row r="434" spans="1:11" x14ac:dyDescent="0.3">
      <c r="A434" s="1" t="s">
        <v>13</v>
      </c>
      <c r="B434">
        <v>43</v>
      </c>
      <c r="C434" t="str" cm="1">
        <f t="array" ref="C434">_xlfn.IFS(
    Dataset[[#This Row],[Age]]&lt;=10, "0-10",
    AND(Dataset[[#This Row],[Age]]&gt;10, Dataset[[#This Row],[Age]]&lt;=18), "11-18",
    AND(Dataset[[#This Row],[Age]]&gt;18, Dataset[[#This Row],[Age]]&lt;=30), "19-30",
    AND(Dataset[[#This Row],[Age]]&gt;30, Dataset[[#This Row],[Age]]&lt;=60), "31-60",
    Dataset[[#This Row],[Age]]&gt;60, "above 60"
)</f>
        <v>31-60</v>
      </c>
      <c r="D434">
        <v>1</v>
      </c>
      <c r="E434">
        <v>1</v>
      </c>
      <c r="F434">
        <v>1</v>
      </c>
      <c r="G43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34" s="1" t="s">
        <v>27</v>
      </c>
      <c r="I434" s="1" t="s">
        <v>15</v>
      </c>
      <c r="J434" s="1" t="s">
        <v>12</v>
      </c>
      <c r="K434">
        <v>1</v>
      </c>
    </row>
    <row r="435" spans="1:11" x14ac:dyDescent="0.3">
      <c r="A435" s="1" t="s">
        <v>13</v>
      </c>
      <c r="B435">
        <v>42</v>
      </c>
      <c r="C435" t="str" cm="1">
        <f t="array" ref="C435">_xlfn.IFS(
    Dataset[[#This Row],[Age]]&lt;=10, "0-10",
    AND(Dataset[[#This Row],[Age]]&gt;10, Dataset[[#This Row],[Age]]&lt;=18), "11-18",
    AND(Dataset[[#This Row],[Age]]&gt;18, Dataset[[#This Row],[Age]]&lt;=30), "19-30",
    AND(Dataset[[#This Row],[Age]]&gt;30, Dataset[[#This Row],[Age]]&lt;=60), "31-60",
    Dataset[[#This Row],[Age]]&gt;60, "above 60"
)</f>
        <v>31-60</v>
      </c>
      <c r="D435">
        <v>1</v>
      </c>
      <c r="E435">
        <v>1</v>
      </c>
      <c r="F435">
        <v>0</v>
      </c>
      <c r="G43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35" s="1" t="s">
        <v>49</v>
      </c>
      <c r="I435" s="1" t="s">
        <v>11</v>
      </c>
      <c r="J435" s="1" t="s">
        <v>17</v>
      </c>
      <c r="K435">
        <v>1</v>
      </c>
    </row>
    <row r="436" spans="1:11" x14ac:dyDescent="0.3">
      <c r="A436" s="1" t="s">
        <v>9</v>
      </c>
      <c r="B436">
        <v>18</v>
      </c>
      <c r="C436" t="str" cm="1">
        <f t="array" ref="C436">_xlfn.IFS(
    Dataset[[#This Row],[Age]]&lt;=10, "0-10",
    AND(Dataset[[#This Row],[Age]]&gt;10, Dataset[[#This Row],[Age]]&lt;=18), "11-18",
    AND(Dataset[[#This Row],[Age]]&gt;18, Dataset[[#This Row],[Age]]&lt;=30), "19-30",
    AND(Dataset[[#This Row],[Age]]&gt;30, Dataset[[#This Row],[Age]]&lt;=60), "31-60",
    Dataset[[#This Row],[Age]]&gt;60, "above 60"
)</f>
        <v>11-18</v>
      </c>
      <c r="D436">
        <v>1</v>
      </c>
      <c r="E436">
        <v>1</v>
      </c>
      <c r="F436">
        <v>0</v>
      </c>
      <c r="G43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36" s="1" t="s">
        <v>46</v>
      </c>
      <c r="I436" s="1" t="s">
        <v>15</v>
      </c>
      <c r="J436" s="1" t="s">
        <v>12</v>
      </c>
      <c r="K436">
        <v>1</v>
      </c>
    </row>
    <row r="437" spans="1:11" x14ac:dyDescent="0.3">
      <c r="A437" s="1" t="s">
        <v>13</v>
      </c>
      <c r="B437">
        <v>15</v>
      </c>
      <c r="C437" t="str" cm="1">
        <f t="array" ref="C437">_xlfn.IFS(
    Dataset[[#This Row],[Age]]&lt;=10, "0-10",
    AND(Dataset[[#This Row],[Age]]&gt;10, Dataset[[#This Row],[Age]]&lt;=18), "11-18",
    AND(Dataset[[#This Row],[Age]]&gt;18, Dataset[[#This Row],[Age]]&lt;=30), "19-30",
    AND(Dataset[[#This Row],[Age]]&gt;30, Dataset[[#This Row],[Age]]&lt;=60), "31-60",
    Dataset[[#This Row],[Age]]&gt;60, "above 60"
)</f>
        <v>11-18</v>
      </c>
      <c r="D437">
        <v>1</v>
      </c>
      <c r="E437">
        <v>1</v>
      </c>
      <c r="F437">
        <v>0</v>
      </c>
      <c r="G43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37" s="1" t="s">
        <v>51</v>
      </c>
      <c r="I437" s="1" t="s">
        <v>11</v>
      </c>
      <c r="J437" s="1" t="s">
        <v>22</v>
      </c>
      <c r="K437">
        <v>1</v>
      </c>
    </row>
    <row r="438" spans="1:11" x14ac:dyDescent="0.3">
      <c r="A438" s="1" t="s">
        <v>13</v>
      </c>
      <c r="B438">
        <v>22</v>
      </c>
      <c r="C438" t="str" cm="1">
        <f t="array" ref="C438">_xlfn.IFS(
    Dataset[[#This Row],[Age]]&lt;=10, "0-10",
    AND(Dataset[[#This Row],[Age]]&gt;10, Dataset[[#This Row],[Age]]&lt;=18), "11-18",
    AND(Dataset[[#This Row],[Age]]&gt;18, Dataset[[#This Row],[Age]]&lt;=30), "19-30",
    AND(Dataset[[#This Row],[Age]]&gt;30, Dataset[[#This Row],[Age]]&lt;=60), "31-60",
    Dataset[[#This Row],[Age]]&gt;60, "above 60"
)</f>
        <v>19-30</v>
      </c>
      <c r="D438">
        <v>1</v>
      </c>
      <c r="E438">
        <v>1</v>
      </c>
      <c r="F438">
        <v>0</v>
      </c>
      <c r="G43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38" s="1" t="s">
        <v>27</v>
      </c>
      <c r="I438" s="1" t="s">
        <v>15</v>
      </c>
      <c r="J438" s="1" t="s">
        <v>12</v>
      </c>
      <c r="K438">
        <v>1</v>
      </c>
    </row>
    <row r="439" spans="1:11" x14ac:dyDescent="0.3">
      <c r="A439" s="1" t="s">
        <v>13</v>
      </c>
      <c r="B439">
        <v>31</v>
      </c>
      <c r="C439" t="str" cm="1">
        <f t="array" ref="C439">_xlfn.IFS(
    Dataset[[#This Row],[Age]]&lt;=10, "0-10",
    AND(Dataset[[#This Row],[Age]]&gt;10, Dataset[[#This Row],[Age]]&lt;=18), "11-18",
    AND(Dataset[[#This Row],[Age]]&gt;18, Dataset[[#This Row],[Age]]&lt;=30), "19-30",
    AND(Dataset[[#This Row],[Age]]&gt;30, Dataset[[#This Row],[Age]]&lt;=60), "31-60",
    Dataset[[#This Row],[Age]]&gt;60, "above 60"
)</f>
        <v>31-60</v>
      </c>
      <c r="D439">
        <v>1</v>
      </c>
      <c r="E439">
        <v>1</v>
      </c>
      <c r="F439">
        <v>0</v>
      </c>
      <c r="G43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39" s="1" t="s">
        <v>36</v>
      </c>
      <c r="I439" s="1" t="s">
        <v>11</v>
      </c>
      <c r="J439" s="1" t="s">
        <v>22</v>
      </c>
      <c r="K439">
        <v>1</v>
      </c>
    </row>
    <row r="440" spans="1:11" x14ac:dyDescent="0.3">
      <c r="A440" s="1" t="s">
        <v>9</v>
      </c>
      <c r="B440">
        <v>26</v>
      </c>
      <c r="C440" t="str" cm="1">
        <f t="array" ref="C440">_xlfn.IFS(
    Dataset[[#This Row],[Age]]&lt;=10, "0-10",
    AND(Dataset[[#This Row],[Age]]&gt;10, Dataset[[#This Row],[Age]]&lt;=18), "11-18",
    AND(Dataset[[#This Row],[Age]]&gt;18, Dataset[[#This Row],[Age]]&lt;=30), "19-30",
    AND(Dataset[[#This Row],[Age]]&gt;30, Dataset[[#This Row],[Age]]&lt;=60), "31-60",
    Dataset[[#This Row],[Age]]&gt;60, "above 60"
)</f>
        <v>19-30</v>
      </c>
      <c r="D440">
        <v>0</v>
      </c>
      <c r="E440">
        <v>0</v>
      </c>
      <c r="F440">
        <v>1</v>
      </c>
      <c r="G44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40" s="1" t="s">
        <v>32</v>
      </c>
      <c r="I440" s="1" t="s">
        <v>15</v>
      </c>
      <c r="J440" s="1" t="s">
        <v>12</v>
      </c>
      <c r="K440">
        <v>0</v>
      </c>
    </row>
    <row r="441" spans="1:11" x14ac:dyDescent="0.3">
      <c r="A441" s="1" t="s">
        <v>13</v>
      </c>
      <c r="B441">
        <v>11</v>
      </c>
      <c r="C441" t="str" cm="1">
        <f t="array" ref="C441">_xlfn.IFS(
    Dataset[[#This Row],[Age]]&lt;=10, "0-10",
    AND(Dataset[[#This Row],[Age]]&gt;10, Dataset[[#This Row],[Age]]&lt;=18), "11-18",
    AND(Dataset[[#This Row],[Age]]&gt;18, Dataset[[#This Row],[Age]]&lt;=30), "19-30",
    AND(Dataset[[#This Row],[Age]]&gt;30, Dataset[[#This Row],[Age]]&lt;=60), "31-60",
    Dataset[[#This Row],[Age]]&gt;60, "above 60"
)</f>
        <v>11-18</v>
      </c>
      <c r="D441">
        <v>1</v>
      </c>
      <c r="E441">
        <v>1</v>
      </c>
      <c r="F441">
        <v>1</v>
      </c>
      <c r="G44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41" s="1" t="s">
        <v>10</v>
      </c>
      <c r="I441" s="1" t="s">
        <v>11</v>
      </c>
      <c r="J441" s="1" t="s">
        <v>22</v>
      </c>
      <c r="K441">
        <v>1</v>
      </c>
    </row>
    <row r="442" spans="1:11" x14ac:dyDescent="0.3">
      <c r="A442" s="1" t="s">
        <v>13</v>
      </c>
      <c r="B442">
        <v>47</v>
      </c>
      <c r="C442" t="str" cm="1">
        <f t="array" ref="C442">_xlfn.IFS(
    Dataset[[#This Row],[Age]]&lt;=10, "0-10",
    AND(Dataset[[#This Row],[Age]]&gt;10, Dataset[[#This Row],[Age]]&lt;=18), "11-18",
    AND(Dataset[[#This Row],[Age]]&gt;18, Dataset[[#This Row],[Age]]&lt;=30), "19-30",
    AND(Dataset[[#This Row],[Age]]&gt;30, Dataset[[#This Row],[Age]]&lt;=60), "31-60",
    Dataset[[#This Row],[Age]]&gt;60, "above 60"
)</f>
        <v>31-60</v>
      </c>
      <c r="D442">
        <v>1</v>
      </c>
      <c r="E442">
        <v>1</v>
      </c>
      <c r="F442">
        <v>1</v>
      </c>
      <c r="G44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42" s="1" t="s">
        <v>10</v>
      </c>
      <c r="I442" s="1" t="s">
        <v>15</v>
      </c>
      <c r="J442" s="1" t="s">
        <v>22</v>
      </c>
      <c r="K442">
        <v>1</v>
      </c>
    </row>
    <row r="443" spans="1:11" x14ac:dyDescent="0.3">
      <c r="A443" s="1" t="s">
        <v>9</v>
      </c>
      <c r="B443">
        <v>20</v>
      </c>
      <c r="C443" t="str" cm="1">
        <f t="array" ref="C443">_xlfn.IFS(
    Dataset[[#This Row],[Age]]&lt;=10, "0-10",
    AND(Dataset[[#This Row],[Age]]&gt;10, Dataset[[#This Row],[Age]]&lt;=18), "11-18",
    AND(Dataset[[#This Row],[Age]]&gt;18, Dataset[[#This Row],[Age]]&lt;=30), "19-30",
    AND(Dataset[[#This Row],[Age]]&gt;30, Dataset[[#This Row],[Age]]&lt;=60), "31-60",
    Dataset[[#This Row],[Age]]&gt;60, "above 60"
)</f>
        <v>19-30</v>
      </c>
      <c r="D443">
        <v>0</v>
      </c>
      <c r="E443">
        <v>0</v>
      </c>
      <c r="F443">
        <v>1</v>
      </c>
      <c r="G44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43" s="1" t="s">
        <v>39</v>
      </c>
      <c r="I443" s="1" t="s">
        <v>11</v>
      </c>
      <c r="J443" s="1" t="s">
        <v>12</v>
      </c>
      <c r="K443">
        <v>0</v>
      </c>
    </row>
    <row r="444" spans="1:11" x14ac:dyDescent="0.3">
      <c r="A444" s="1" t="s">
        <v>13</v>
      </c>
      <c r="B444">
        <v>58</v>
      </c>
      <c r="C444" t="str" cm="1">
        <f t="array" ref="C444">_xlfn.IFS(
    Dataset[[#This Row],[Age]]&lt;=10, "0-10",
    AND(Dataset[[#This Row],[Age]]&gt;10, Dataset[[#This Row],[Age]]&lt;=18), "11-18",
    AND(Dataset[[#This Row],[Age]]&gt;18, Dataset[[#This Row],[Age]]&lt;=30), "19-30",
    AND(Dataset[[#This Row],[Age]]&gt;30, Dataset[[#This Row],[Age]]&lt;=60), "31-60",
    Dataset[[#This Row],[Age]]&gt;60, "above 60"
)</f>
        <v>31-60</v>
      </c>
      <c r="D444">
        <v>0</v>
      </c>
      <c r="E444">
        <v>0</v>
      </c>
      <c r="F444">
        <v>1</v>
      </c>
      <c r="G44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44" s="1" t="s">
        <v>43</v>
      </c>
      <c r="I444" s="1" t="s">
        <v>15</v>
      </c>
      <c r="J444" s="1" t="s">
        <v>12</v>
      </c>
      <c r="K444">
        <v>0</v>
      </c>
    </row>
    <row r="445" spans="1:11" x14ac:dyDescent="0.3">
      <c r="A445" s="1" t="s">
        <v>13</v>
      </c>
      <c r="B445">
        <v>62</v>
      </c>
      <c r="C445" t="str" cm="1">
        <f t="array" ref="C445">_xlfn.IFS(
    Dataset[[#This Row],[Age]]&lt;=10, "0-10",
    AND(Dataset[[#This Row],[Age]]&gt;10, Dataset[[#This Row],[Age]]&lt;=18), "11-18",
    AND(Dataset[[#This Row],[Age]]&gt;18, Dataset[[#This Row],[Age]]&lt;=30), "19-30",
    AND(Dataset[[#This Row],[Age]]&gt;30, Dataset[[#This Row],[Age]]&lt;=60), "31-60",
    Dataset[[#This Row],[Age]]&gt;60, "above 60"
)</f>
        <v>above 60</v>
      </c>
      <c r="D445">
        <v>1</v>
      </c>
      <c r="E445">
        <v>1</v>
      </c>
      <c r="F445">
        <v>0</v>
      </c>
      <c r="G44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45" s="1" t="s">
        <v>43</v>
      </c>
      <c r="I445" s="1" t="s">
        <v>11</v>
      </c>
      <c r="J445" s="1" t="s">
        <v>17</v>
      </c>
      <c r="K445">
        <v>1</v>
      </c>
    </row>
    <row r="446" spans="1:11" x14ac:dyDescent="0.3">
      <c r="A446" s="1" t="s">
        <v>9</v>
      </c>
      <c r="B446">
        <v>27</v>
      </c>
      <c r="C446" t="str" cm="1">
        <f t="array" ref="C446">_xlfn.IFS(
    Dataset[[#This Row],[Age]]&lt;=10, "0-10",
    AND(Dataset[[#This Row],[Age]]&gt;10, Dataset[[#This Row],[Age]]&lt;=18), "11-18",
    AND(Dataset[[#This Row],[Age]]&gt;18, Dataset[[#This Row],[Age]]&lt;=30), "19-30",
    AND(Dataset[[#This Row],[Age]]&gt;30, Dataset[[#This Row],[Age]]&lt;=60), "31-60",
    Dataset[[#This Row],[Age]]&gt;60, "above 60"
)</f>
        <v>19-30</v>
      </c>
      <c r="D446">
        <v>0</v>
      </c>
      <c r="E446">
        <v>0</v>
      </c>
      <c r="F446">
        <v>1</v>
      </c>
      <c r="G44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46" s="1" t="s">
        <v>36</v>
      </c>
      <c r="I446" s="1" t="s">
        <v>15</v>
      </c>
      <c r="J446" s="1" t="s">
        <v>17</v>
      </c>
      <c r="K446">
        <v>0</v>
      </c>
    </row>
    <row r="447" spans="1:11" x14ac:dyDescent="0.3">
      <c r="A447" s="1" t="s">
        <v>9</v>
      </c>
      <c r="B447">
        <v>49</v>
      </c>
      <c r="C447" t="str" cm="1">
        <f t="array" ref="C447">_xlfn.IFS(
    Dataset[[#This Row],[Age]]&lt;=10, "0-10",
    AND(Dataset[[#This Row],[Age]]&gt;10, Dataset[[#This Row],[Age]]&lt;=18), "11-18",
    AND(Dataset[[#This Row],[Age]]&gt;18, Dataset[[#This Row],[Age]]&lt;=30), "19-30",
    AND(Dataset[[#This Row],[Age]]&gt;30, Dataset[[#This Row],[Age]]&lt;=60), "31-60",
    Dataset[[#This Row],[Age]]&gt;60, "above 60"
)</f>
        <v>31-60</v>
      </c>
      <c r="D447">
        <v>1</v>
      </c>
      <c r="E447">
        <v>1</v>
      </c>
      <c r="F447">
        <v>1</v>
      </c>
      <c r="G44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47" s="1" t="s">
        <v>45</v>
      </c>
      <c r="I447" s="1" t="s">
        <v>11</v>
      </c>
      <c r="J447" s="1" t="s">
        <v>22</v>
      </c>
      <c r="K447">
        <v>1</v>
      </c>
    </row>
    <row r="448" spans="1:11" x14ac:dyDescent="0.3">
      <c r="A448" s="1" t="s">
        <v>9</v>
      </c>
      <c r="B448">
        <v>30</v>
      </c>
      <c r="C448" t="str" cm="1">
        <f t="array" ref="C448">_xlfn.IFS(
    Dataset[[#This Row],[Age]]&lt;=10, "0-10",
    AND(Dataset[[#This Row],[Age]]&gt;10, Dataset[[#This Row],[Age]]&lt;=18), "11-18",
    AND(Dataset[[#This Row],[Age]]&gt;18, Dataset[[#This Row],[Age]]&lt;=30), "19-30",
    AND(Dataset[[#This Row],[Age]]&gt;30, Dataset[[#This Row],[Age]]&lt;=60), "31-60",
    Dataset[[#This Row],[Age]]&gt;60, "above 60"
)</f>
        <v>19-30</v>
      </c>
      <c r="D448">
        <v>1</v>
      </c>
      <c r="E448">
        <v>1</v>
      </c>
      <c r="F448">
        <v>0</v>
      </c>
      <c r="G44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48" s="1" t="s">
        <v>40</v>
      </c>
      <c r="I448" s="1" t="s">
        <v>15</v>
      </c>
      <c r="J448" s="1" t="s">
        <v>17</v>
      </c>
      <c r="K448">
        <v>1</v>
      </c>
    </row>
    <row r="449" spans="1:11" x14ac:dyDescent="0.3">
      <c r="A449" s="1" t="s">
        <v>13</v>
      </c>
      <c r="B449">
        <v>61</v>
      </c>
      <c r="C449" t="str" cm="1">
        <f t="array" ref="C449">_xlfn.IFS(
    Dataset[[#This Row],[Age]]&lt;=10, "0-10",
    AND(Dataset[[#This Row],[Age]]&gt;10, Dataset[[#This Row],[Age]]&lt;=18), "11-18",
    AND(Dataset[[#This Row],[Age]]&gt;18, Dataset[[#This Row],[Age]]&lt;=30), "19-30",
    AND(Dataset[[#This Row],[Age]]&gt;30, Dataset[[#This Row],[Age]]&lt;=60), "31-60",
    Dataset[[#This Row],[Age]]&gt;60, "above 60"
)</f>
        <v>above 60</v>
      </c>
      <c r="D449">
        <v>1</v>
      </c>
      <c r="E449">
        <v>1</v>
      </c>
      <c r="F449">
        <v>1</v>
      </c>
      <c r="G44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49" s="1" t="s">
        <v>19</v>
      </c>
      <c r="I449" s="1" t="s">
        <v>11</v>
      </c>
      <c r="J449" s="1" t="s">
        <v>17</v>
      </c>
      <c r="K449">
        <v>1</v>
      </c>
    </row>
    <row r="450" spans="1:11" x14ac:dyDescent="0.3">
      <c r="A450" s="1" t="s">
        <v>9</v>
      </c>
      <c r="B450">
        <v>31</v>
      </c>
      <c r="C450" t="str" cm="1">
        <f t="array" ref="C450">_xlfn.IFS(
    Dataset[[#This Row],[Age]]&lt;=10, "0-10",
    AND(Dataset[[#This Row],[Age]]&gt;10, Dataset[[#This Row],[Age]]&lt;=18), "11-18",
    AND(Dataset[[#This Row],[Age]]&gt;18, Dataset[[#This Row],[Age]]&lt;=30), "19-30",
    AND(Dataset[[#This Row],[Age]]&gt;30, Dataset[[#This Row],[Age]]&lt;=60), "31-60",
    Dataset[[#This Row],[Age]]&gt;60, "above 60"
)</f>
        <v>31-60</v>
      </c>
      <c r="D450">
        <v>1</v>
      </c>
      <c r="E450">
        <v>1</v>
      </c>
      <c r="F450">
        <v>1</v>
      </c>
      <c r="G45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50" s="1" t="s">
        <v>44</v>
      </c>
      <c r="I450" s="1" t="s">
        <v>15</v>
      </c>
      <c r="J450" s="1" t="s">
        <v>12</v>
      </c>
      <c r="K450">
        <v>1</v>
      </c>
    </row>
    <row r="451" spans="1:11" x14ac:dyDescent="0.3">
      <c r="A451" s="1" t="s">
        <v>9</v>
      </c>
      <c r="B451">
        <v>64</v>
      </c>
      <c r="C451" t="str" cm="1">
        <f t="array" ref="C451">_xlfn.IFS(
    Dataset[[#This Row],[Age]]&lt;=10, "0-10",
    AND(Dataset[[#This Row],[Age]]&gt;10, Dataset[[#This Row],[Age]]&lt;=18), "11-18",
    AND(Dataset[[#This Row],[Age]]&gt;18, Dataset[[#This Row],[Age]]&lt;=30), "19-30",
    AND(Dataset[[#This Row],[Age]]&gt;30, Dataset[[#This Row],[Age]]&lt;=60), "31-60",
    Dataset[[#This Row],[Age]]&gt;60, "above 60"
)</f>
        <v>above 60</v>
      </c>
      <c r="D451">
        <v>0</v>
      </c>
      <c r="E451">
        <v>0</v>
      </c>
      <c r="F451">
        <v>1</v>
      </c>
      <c r="G45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51" s="1" t="s">
        <v>18</v>
      </c>
      <c r="I451" s="1" t="s">
        <v>11</v>
      </c>
      <c r="J451" s="1" t="s">
        <v>17</v>
      </c>
      <c r="K451">
        <v>0</v>
      </c>
    </row>
    <row r="452" spans="1:11" x14ac:dyDescent="0.3">
      <c r="A452" s="1" t="s">
        <v>9</v>
      </c>
      <c r="B452">
        <v>37</v>
      </c>
      <c r="C452" t="str" cm="1">
        <f t="array" ref="C452">_xlfn.IFS(
    Dataset[[#This Row],[Age]]&lt;=10, "0-10",
    AND(Dataset[[#This Row],[Age]]&gt;10, Dataset[[#This Row],[Age]]&lt;=18), "11-18",
    AND(Dataset[[#This Row],[Age]]&gt;18, Dataset[[#This Row],[Age]]&lt;=30), "19-30",
    AND(Dataset[[#This Row],[Age]]&gt;30, Dataset[[#This Row],[Age]]&lt;=60), "31-60",
    Dataset[[#This Row],[Age]]&gt;60, "above 60"
)</f>
        <v>31-60</v>
      </c>
      <c r="D452">
        <v>0</v>
      </c>
      <c r="E452">
        <v>0</v>
      </c>
      <c r="F452">
        <v>1</v>
      </c>
      <c r="G45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52" s="1" t="s">
        <v>24</v>
      </c>
      <c r="I452" s="1" t="s">
        <v>15</v>
      </c>
      <c r="J452" s="1" t="s">
        <v>17</v>
      </c>
      <c r="K452">
        <v>0</v>
      </c>
    </row>
    <row r="453" spans="1:11" x14ac:dyDescent="0.3">
      <c r="A453" s="1" t="s">
        <v>13</v>
      </c>
      <c r="B453">
        <v>45</v>
      </c>
      <c r="C453" t="str" cm="1">
        <f t="array" ref="C453">_xlfn.IFS(
    Dataset[[#This Row],[Age]]&lt;=10, "0-10",
    AND(Dataset[[#This Row],[Age]]&gt;10, Dataset[[#This Row],[Age]]&lt;=18), "11-18",
    AND(Dataset[[#This Row],[Age]]&gt;18, Dataset[[#This Row],[Age]]&lt;=30), "19-30",
    AND(Dataset[[#This Row],[Age]]&gt;30, Dataset[[#This Row],[Age]]&lt;=60), "31-60",
    Dataset[[#This Row],[Age]]&gt;60, "above 60"
)</f>
        <v>31-60</v>
      </c>
      <c r="D453">
        <v>1</v>
      </c>
      <c r="E453">
        <v>1</v>
      </c>
      <c r="F453">
        <v>0</v>
      </c>
      <c r="G45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53" s="1" t="s">
        <v>50</v>
      </c>
      <c r="I453" s="1" t="s">
        <v>11</v>
      </c>
      <c r="J453" s="1" t="s">
        <v>17</v>
      </c>
      <c r="K453">
        <v>1</v>
      </c>
    </row>
    <row r="454" spans="1:11" x14ac:dyDescent="0.3">
      <c r="A454" s="1" t="s">
        <v>13</v>
      </c>
      <c r="B454">
        <v>47</v>
      </c>
      <c r="C454" t="str" cm="1">
        <f t="array" ref="C454">_xlfn.IFS(
    Dataset[[#This Row],[Age]]&lt;=10, "0-10",
    AND(Dataset[[#This Row],[Age]]&gt;10, Dataset[[#This Row],[Age]]&lt;=18), "11-18",
    AND(Dataset[[#This Row],[Age]]&gt;18, Dataset[[#This Row],[Age]]&lt;=30), "19-30",
    AND(Dataset[[#This Row],[Age]]&gt;30, Dataset[[#This Row],[Age]]&lt;=60), "31-60",
    Dataset[[#This Row],[Age]]&gt;60, "above 60"
)</f>
        <v>31-60</v>
      </c>
      <c r="D454">
        <v>1</v>
      </c>
      <c r="E454">
        <v>1</v>
      </c>
      <c r="F454">
        <v>0</v>
      </c>
      <c r="G45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54" s="1" t="s">
        <v>47</v>
      </c>
      <c r="I454" s="1" t="s">
        <v>15</v>
      </c>
      <c r="J454" s="1" t="s">
        <v>17</v>
      </c>
      <c r="K454">
        <v>1</v>
      </c>
    </row>
    <row r="455" spans="1:11" x14ac:dyDescent="0.3">
      <c r="A455" s="1" t="s">
        <v>9</v>
      </c>
      <c r="B455">
        <v>34</v>
      </c>
      <c r="C455" t="str" cm="1">
        <f t="array" ref="C455">_xlfn.IFS(
    Dataset[[#This Row],[Age]]&lt;=10, "0-10",
    AND(Dataset[[#This Row],[Age]]&gt;10, Dataset[[#This Row],[Age]]&lt;=18), "11-18",
    AND(Dataset[[#This Row],[Age]]&gt;18, Dataset[[#This Row],[Age]]&lt;=30), "19-30",
    AND(Dataset[[#This Row],[Age]]&gt;30, Dataset[[#This Row],[Age]]&lt;=60), "31-60",
    Dataset[[#This Row],[Age]]&gt;60, "above 60"
)</f>
        <v>31-60</v>
      </c>
      <c r="D455">
        <v>0</v>
      </c>
      <c r="E455">
        <v>0</v>
      </c>
      <c r="F455">
        <v>0</v>
      </c>
      <c r="G45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55" s="1" t="s">
        <v>37</v>
      </c>
      <c r="I455" s="1" t="s">
        <v>11</v>
      </c>
      <c r="J455" s="1" t="s">
        <v>22</v>
      </c>
      <c r="K455">
        <v>0</v>
      </c>
    </row>
    <row r="456" spans="1:11" x14ac:dyDescent="0.3">
      <c r="A456" s="1" t="s">
        <v>13</v>
      </c>
      <c r="B456">
        <v>37</v>
      </c>
      <c r="C456" t="str" cm="1">
        <f t="array" ref="C456">_xlfn.IFS(
    Dataset[[#This Row],[Age]]&lt;=10, "0-10",
    AND(Dataset[[#This Row],[Age]]&gt;10, Dataset[[#This Row],[Age]]&lt;=18), "11-18",
    AND(Dataset[[#This Row],[Age]]&gt;18, Dataset[[#This Row],[Age]]&lt;=30), "19-30",
    AND(Dataset[[#This Row],[Age]]&gt;30, Dataset[[#This Row],[Age]]&lt;=60), "31-60",
    Dataset[[#This Row],[Age]]&gt;60, "above 60"
)</f>
        <v>31-60</v>
      </c>
      <c r="D456">
        <v>1</v>
      </c>
      <c r="E456">
        <v>1</v>
      </c>
      <c r="F456">
        <v>1</v>
      </c>
      <c r="G45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56" s="1" t="s">
        <v>49</v>
      </c>
      <c r="I456" s="1" t="s">
        <v>15</v>
      </c>
      <c r="J456" s="1" t="s">
        <v>17</v>
      </c>
      <c r="K456">
        <v>1</v>
      </c>
    </row>
    <row r="457" spans="1:11" x14ac:dyDescent="0.3">
      <c r="A457" s="1" t="s">
        <v>13</v>
      </c>
      <c r="B457">
        <v>38</v>
      </c>
      <c r="C457" t="str" cm="1">
        <f t="array" ref="C457">_xlfn.IFS(
    Dataset[[#This Row],[Age]]&lt;=10, "0-10",
    AND(Dataset[[#This Row],[Age]]&gt;10, Dataset[[#This Row],[Age]]&lt;=18), "11-18",
    AND(Dataset[[#This Row],[Age]]&gt;18, Dataset[[#This Row],[Age]]&lt;=30), "19-30",
    AND(Dataset[[#This Row],[Age]]&gt;30, Dataset[[#This Row],[Age]]&lt;=60), "31-60",
    Dataset[[#This Row],[Age]]&gt;60, "above 60"
)</f>
        <v>31-60</v>
      </c>
      <c r="D457">
        <v>0</v>
      </c>
      <c r="E457">
        <v>1</v>
      </c>
      <c r="F457">
        <v>0</v>
      </c>
      <c r="G45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Low Risk</v>
      </c>
      <c r="H457" s="1" t="s">
        <v>26</v>
      </c>
      <c r="I457" s="1" t="s">
        <v>15</v>
      </c>
      <c r="J457" s="1" t="s">
        <v>12</v>
      </c>
      <c r="K457">
        <v>1</v>
      </c>
    </row>
    <row r="458" spans="1:11" x14ac:dyDescent="0.3">
      <c r="A458" s="1" t="s">
        <v>9</v>
      </c>
      <c r="B458">
        <v>13</v>
      </c>
      <c r="C458" t="str" cm="1">
        <f t="array" ref="C458">_xlfn.IFS(
    Dataset[[#This Row],[Age]]&lt;=10, "0-10",
    AND(Dataset[[#This Row],[Age]]&gt;10, Dataset[[#This Row],[Age]]&lt;=18), "11-18",
    AND(Dataset[[#This Row],[Age]]&gt;18, Dataset[[#This Row],[Age]]&lt;=30), "19-30",
    AND(Dataset[[#This Row],[Age]]&gt;30, Dataset[[#This Row],[Age]]&lt;=60), "31-60",
    Dataset[[#This Row],[Age]]&gt;60, "above 60"
)</f>
        <v>11-18</v>
      </c>
      <c r="D458">
        <v>0</v>
      </c>
      <c r="E458">
        <v>0</v>
      </c>
      <c r="F458">
        <v>0</v>
      </c>
      <c r="G45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58" s="1" t="s">
        <v>29</v>
      </c>
      <c r="I458" s="1" t="s">
        <v>11</v>
      </c>
      <c r="J458" s="1" t="s">
        <v>22</v>
      </c>
      <c r="K458">
        <v>0</v>
      </c>
    </row>
    <row r="459" spans="1:11" x14ac:dyDescent="0.3">
      <c r="A459" s="1" t="s">
        <v>9</v>
      </c>
      <c r="B459">
        <v>52</v>
      </c>
      <c r="C459" t="str" cm="1">
        <f t="array" ref="C459">_xlfn.IFS(
    Dataset[[#This Row],[Age]]&lt;=10, "0-10",
    AND(Dataset[[#This Row],[Age]]&gt;10, Dataset[[#This Row],[Age]]&lt;=18), "11-18",
    AND(Dataset[[#This Row],[Age]]&gt;18, Dataset[[#This Row],[Age]]&lt;=30), "19-30",
    AND(Dataset[[#This Row],[Age]]&gt;30, Dataset[[#This Row],[Age]]&lt;=60), "31-60",
    Dataset[[#This Row],[Age]]&gt;60, "above 60"
)</f>
        <v>31-60</v>
      </c>
      <c r="D459">
        <v>1</v>
      </c>
      <c r="E459">
        <v>1</v>
      </c>
      <c r="F459">
        <v>1</v>
      </c>
      <c r="G45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59" s="1" t="s">
        <v>47</v>
      </c>
      <c r="I459" s="1" t="s">
        <v>15</v>
      </c>
      <c r="J459" s="1" t="s">
        <v>22</v>
      </c>
      <c r="K459">
        <v>1</v>
      </c>
    </row>
    <row r="460" spans="1:11" x14ac:dyDescent="0.3">
      <c r="A460" s="1" t="s">
        <v>9</v>
      </c>
      <c r="B460">
        <v>50</v>
      </c>
      <c r="C460" t="str" cm="1">
        <f t="array" ref="C460">_xlfn.IFS(
    Dataset[[#This Row],[Age]]&lt;=10, "0-10",
    AND(Dataset[[#This Row],[Age]]&gt;10, Dataset[[#This Row],[Age]]&lt;=18), "11-18",
    AND(Dataset[[#This Row],[Age]]&gt;18, Dataset[[#This Row],[Age]]&lt;=30), "19-30",
    AND(Dataset[[#This Row],[Age]]&gt;30, Dataset[[#This Row],[Age]]&lt;=60), "31-60",
    Dataset[[#This Row],[Age]]&gt;60, "above 60"
)</f>
        <v>31-60</v>
      </c>
      <c r="D460">
        <v>0</v>
      </c>
      <c r="E460">
        <v>0</v>
      </c>
      <c r="F460">
        <v>0</v>
      </c>
      <c r="G46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60" s="1" t="s">
        <v>34</v>
      </c>
      <c r="I460" s="1" t="s">
        <v>11</v>
      </c>
      <c r="J460" s="1" t="s">
        <v>22</v>
      </c>
      <c r="K460">
        <v>0</v>
      </c>
    </row>
    <row r="461" spans="1:11" x14ac:dyDescent="0.3">
      <c r="A461" s="1" t="s">
        <v>13</v>
      </c>
      <c r="B461">
        <v>35</v>
      </c>
      <c r="C461" t="str" cm="1">
        <f t="array" ref="C461">_xlfn.IFS(
    Dataset[[#This Row],[Age]]&lt;=10, "0-10",
    AND(Dataset[[#This Row],[Age]]&gt;10, Dataset[[#This Row],[Age]]&lt;=18), "11-18",
    AND(Dataset[[#This Row],[Age]]&gt;18, Dataset[[#This Row],[Age]]&lt;=30), "19-30",
    AND(Dataset[[#This Row],[Age]]&gt;30, Dataset[[#This Row],[Age]]&lt;=60), "31-60",
    Dataset[[#This Row],[Age]]&gt;60, "above 60"
)</f>
        <v>31-60</v>
      </c>
      <c r="D461">
        <v>0</v>
      </c>
      <c r="E461">
        <v>0</v>
      </c>
      <c r="F461">
        <v>0</v>
      </c>
      <c r="G46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61" s="1" t="s">
        <v>28</v>
      </c>
      <c r="I461" s="1" t="s">
        <v>15</v>
      </c>
      <c r="J461" s="1" t="s">
        <v>12</v>
      </c>
      <c r="K461">
        <v>0</v>
      </c>
    </row>
    <row r="462" spans="1:11" x14ac:dyDescent="0.3">
      <c r="A462" s="1" t="s">
        <v>13</v>
      </c>
      <c r="B462">
        <v>14</v>
      </c>
      <c r="C462" t="str" cm="1">
        <f t="array" ref="C462">_xlfn.IFS(
    Dataset[[#This Row],[Age]]&lt;=10, "0-10",
    AND(Dataset[[#This Row],[Age]]&gt;10, Dataset[[#This Row],[Age]]&lt;=18), "11-18",
    AND(Dataset[[#This Row],[Age]]&gt;18, Dataset[[#This Row],[Age]]&lt;=30), "19-30",
    AND(Dataset[[#This Row],[Age]]&gt;30, Dataset[[#This Row],[Age]]&lt;=60), "31-60",
    Dataset[[#This Row],[Age]]&gt;60, "above 60"
)</f>
        <v>11-18</v>
      </c>
      <c r="D462">
        <v>1</v>
      </c>
      <c r="E462">
        <v>1</v>
      </c>
      <c r="F462">
        <v>1</v>
      </c>
      <c r="G46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62" s="1" t="s">
        <v>46</v>
      </c>
      <c r="I462" s="1" t="s">
        <v>11</v>
      </c>
      <c r="J462" s="1" t="s">
        <v>17</v>
      </c>
      <c r="K462">
        <v>1</v>
      </c>
    </row>
    <row r="463" spans="1:11" x14ac:dyDescent="0.3">
      <c r="A463" s="1" t="s">
        <v>9</v>
      </c>
      <c r="B463">
        <v>31</v>
      </c>
      <c r="C463" t="str" cm="1">
        <f t="array" ref="C463">_xlfn.IFS(
    Dataset[[#This Row],[Age]]&lt;=10, "0-10",
    AND(Dataset[[#This Row],[Age]]&gt;10, Dataset[[#This Row],[Age]]&lt;=18), "11-18",
    AND(Dataset[[#This Row],[Age]]&gt;18, Dataset[[#This Row],[Age]]&lt;=30), "19-30",
    AND(Dataset[[#This Row],[Age]]&gt;30, Dataset[[#This Row],[Age]]&lt;=60), "31-60",
    Dataset[[#This Row],[Age]]&gt;60, "above 60"
)</f>
        <v>31-60</v>
      </c>
      <c r="D463">
        <v>0</v>
      </c>
      <c r="E463">
        <v>0</v>
      </c>
      <c r="F463">
        <v>1</v>
      </c>
      <c r="G46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63" s="1" t="s">
        <v>25</v>
      </c>
      <c r="I463" s="1" t="s">
        <v>15</v>
      </c>
      <c r="J463" s="1" t="s">
        <v>12</v>
      </c>
      <c r="K463">
        <v>0</v>
      </c>
    </row>
    <row r="464" spans="1:11" x14ac:dyDescent="0.3">
      <c r="A464" s="1" t="s">
        <v>9</v>
      </c>
      <c r="B464">
        <v>23</v>
      </c>
      <c r="C464" t="str" cm="1">
        <f t="array" ref="C464">_xlfn.IFS(
    Dataset[[#This Row],[Age]]&lt;=10, "0-10",
    AND(Dataset[[#This Row],[Age]]&gt;10, Dataset[[#This Row],[Age]]&lt;=18), "11-18",
    AND(Dataset[[#This Row],[Age]]&gt;18, Dataset[[#This Row],[Age]]&lt;=30), "19-30",
    AND(Dataset[[#This Row],[Age]]&gt;30, Dataset[[#This Row],[Age]]&lt;=60), "31-60",
    Dataset[[#This Row],[Age]]&gt;60, "above 60"
)</f>
        <v>19-30</v>
      </c>
      <c r="D464">
        <v>1</v>
      </c>
      <c r="E464">
        <v>1</v>
      </c>
      <c r="F464">
        <v>0</v>
      </c>
      <c r="G46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64" s="1" t="s">
        <v>29</v>
      </c>
      <c r="I464" s="1" t="s">
        <v>11</v>
      </c>
      <c r="J464" s="1" t="s">
        <v>22</v>
      </c>
      <c r="K464">
        <v>1</v>
      </c>
    </row>
    <row r="465" spans="1:11" x14ac:dyDescent="0.3">
      <c r="A465" s="1" t="s">
        <v>13</v>
      </c>
      <c r="B465">
        <v>32</v>
      </c>
      <c r="C465" t="str" cm="1">
        <f t="array" ref="C465">_xlfn.IFS(
    Dataset[[#This Row],[Age]]&lt;=10, "0-10",
    AND(Dataset[[#This Row],[Age]]&gt;10, Dataset[[#This Row],[Age]]&lt;=18), "11-18",
    AND(Dataset[[#This Row],[Age]]&gt;18, Dataset[[#This Row],[Age]]&lt;=30), "19-30",
    AND(Dataset[[#This Row],[Age]]&gt;30, Dataset[[#This Row],[Age]]&lt;=60), "31-60",
    Dataset[[#This Row],[Age]]&gt;60, "above 60"
)</f>
        <v>31-60</v>
      </c>
      <c r="D465">
        <v>0</v>
      </c>
      <c r="E465">
        <v>0</v>
      </c>
      <c r="F465">
        <v>0</v>
      </c>
      <c r="G46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65" s="1" t="s">
        <v>45</v>
      </c>
      <c r="I465" s="1" t="s">
        <v>15</v>
      </c>
      <c r="J465" s="1" t="s">
        <v>22</v>
      </c>
      <c r="K465">
        <v>0</v>
      </c>
    </row>
    <row r="466" spans="1:11" x14ac:dyDescent="0.3">
      <c r="A466" s="1" t="s">
        <v>13</v>
      </c>
      <c r="B466">
        <v>39</v>
      </c>
      <c r="C466" t="str" cm="1">
        <f t="array" ref="C466">_xlfn.IFS(
    Dataset[[#This Row],[Age]]&lt;=10, "0-10",
    AND(Dataset[[#This Row],[Age]]&gt;10, Dataset[[#This Row],[Age]]&lt;=18), "11-18",
    AND(Dataset[[#This Row],[Age]]&gt;18, Dataset[[#This Row],[Age]]&lt;=30), "19-30",
    AND(Dataset[[#This Row],[Age]]&gt;30, Dataset[[#This Row],[Age]]&lt;=60), "31-60",
    Dataset[[#This Row],[Age]]&gt;60, "above 60"
)</f>
        <v>31-60</v>
      </c>
      <c r="D466">
        <v>1</v>
      </c>
      <c r="E466">
        <v>1</v>
      </c>
      <c r="F466">
        <v>0</v>
      </c>
      <c r="G46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66" s="1" t="s">
        <v>19</v>
      </c>
      <c r="I466" s="1" t="s">
        <v>11</v>
      </c>
      <c r="J466" s="1" t="s">
        <v>22</v>
      </c>
      <c r="K466">
        <v>1</v>
      </c>
    </row>
    <row r="467" spans="1:11" x14ac:dyDescent="0.3">
      <c r="A467" s="1" t="s">
        <v>9</v>
      </c>
      <c r="B467">
        <v>53</v>
      </c>
      <c r="C467" t="str" cm="1">
        <f t="array" ref="C467">_xlfn.IFS(
    Dataset[[#This Row],[Age]]&lt;=10, "0-10",
    AND(Dataset[[#This Row],[Age]]&gt;10, Dataset[[#This Row],[Age]]&lt;=18), "11-18",
    AND(Dataset[[#This Row],[Age]]&gt;18, Dataset[[#This Row],[Age]]&lt;=30), "19-30",
    AND(Dataset[[#This Row],[Age]]&gt;30, Dataset[[#This Row],[Age]]&lt;=60), "31-60",
    Dataset[[#This Row],[Age]]&gt;60, "above 60"
)</f>
        <v>31-60</v>
      </c>
      <c r="D467">
        <v>0</v>
      </c>
      <c r="E467">
        <v>0</v>
      </c>
      <c r="F467">
        <v>0</v>
      </c>
      <c r="G46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67" s="1" t="s">
        <v>43</v>
      </c>
      <c r="I467" s="1" t="s">
        <v>15</v>
      </c>
      <c r="J467" s="1" t="s">
        <v>12</v>
      </c>
      <c r="K467">
        <v>0</v>
      </c>
    </row>
    <row r="468" spans="1:11" x14ac:dyDescent="0.3">
      <c r="A468" s="1" t="s">
        <v>13</v>
      </c>
      <c r="B468">
        <v>29</v>
      </c>
      <c r="C468" t="str" cm="1">
        <f t="array" ref="C468">_xlfn.IFS(
    Dataset[[#This Row],[Age]]&lt;=10, "0-10",
    AND(Dataset[[#This Row],[Age]]&gt;10, Dataset[[#This Row],[Age]]&lt;=18), "11-18",
    AND(Dataset[[#This Row],[Age]]&gt;18, Dataset[[#This Row],[Age]]&lt;=30), "19-30",
    AND(Dataset[[#This Row],[Age]]&gt;30, Dataset[[#This Row],[Age]]&lt;=60), "31-60",
    Dataset[[#This Row],[Age]]&gt;60, "above 60"
)</f>
        <v>19-30</v>
      </c>
      <c r="D468">
        <v>0</v>
      </c>
      <c r="E468">
        <v>0</v>
      </c>
      <c r="F468">
        <v>1</v>
      </c>
      <c r="G46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68" s="1" t="s">
        <v>29</v>
      </c>
      <c r="I468" s="1" t="s">
        <v>11</v>
      </c>
      <c r="J468" s="1" t="s">
        <v>17</v>
      </c>
      <c r="K468">
        <v>0</v>
      </c>
    </row>
    <row r="469" spans="1:11" x14ac:dyDescent="0.3">
      <c r="A469" s="1" t="s">
        <v>13</v>
      </c>
      <c r="B469">
        <v>51</v>
      </c>
      <c r="C469" t="str" cm="1">
        <f t="array" ref="C469">_xlfn.IFS(
    Dataset[[#This Row],[Age]]&lt;=10, "0-10",
    AND(Dataset[[#This Row],[Age]]&gt;10, Dataset[[#This Row],[Age]]&lt;=18), "11-18",
    AND(Dataset[[#This Row],[Age]]&gt;18, Dataset[[#This Row],[Age]]&lt;=30), "19-30",
    AND(Dataset[[#This Row],[Age]]&gt;30, Dataset[[#This Row],[Age]]&lt;=60), "31-60",
    Dataset[[#This Row],[Age]]&gt;60, "above 60"
)</f>
        <v>31-60</v>
      </c>
      <c r="D469">
        <v>1</v>
      </c>
      <c r="E469">
        <v>1</v>
      </c>
      <c r="F469">
        <v>1</v>
      </c>
      <c r="G46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69" s="1" t="s">
        <v>39</v>
      </c>
      <c r="I469" s="1" t="s">
        <v>15</v>
      </c>
      <c r="J469" s="1" t="s">
        <v>17</v>
      </c>
      <c r="K469">
        <v>1</v>
      </c>
    </row>
    <row r="470" spans="1:11" x14ac:dyDescent="0.3">
      <c r="A470" s="1" t="s">
        <v>13</v>
      </c>
      <c r="B470">
        <v>11</v>
      </c>
      <c r="C470" t="str" cm="1">
        <f t="array" ref="C470">_xlfn.IFS(
    Dataset[[#This Row],[Age]]&lt;=10, "0-10",
    AND(Dataset[[#This Row],[Age]]&gt;10, Dataset[[#This Row],[Age]]&lt;=18), "11-18",
    AND(Dataset[[#This Row],[Age]]&gt;18, Dataset[[#This Row],[Age]]&lt;=30), "19-30",
    AND(Dataset[[#This Row],[Age]]&gt;30, Dataset[[#This Row],[Age]]&lt;=60), "31-60",
    Dataset[[#This Row],[Age]]&gt;60, "above 60"
)</f>
        <v>11-18</v>
      </c>
      <c r="D470">
        <v>0</v>
      </c>
      <c r="E470">
        <v>0</v>
      </c>
      <c r="F470">
        <v>1</v>
      </c>
      <c r="G47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70" s="1" t="s">
        <v>33</v>
      </c>
      <c r="I470" s="1" t="s">
        <v>11</v>
      </c>
      <c r="J470" s="1" t="s">
        <v>17</v>
      </c>
      <c r="K470">
        <v>0</v>
      </c>
    </row>
    <row r="471" spans="1:11" x14ac:dyDescent="0.3">
      <c r="A471" s="1" t="s">
        <v>9</v>
      </c>
      <c r="B471">
        <v>29</v>
      </c>
      <c r="C471" t="str" cm="1">
        <f t="array" ref="C471">_xlfn.IFS(
    Dataset[[#This Row],[Age]]&lt;=10, "0-10",
    AND(Dataset[[#This Row],[Age]]&gt;10, Dataset[[#This Row],[Age]]&lt;=18), "11-18",
    AND(Dataset[[#This Row],[Age]]&gt;18, Dataset[[#This Row],[Age]]&lt;=30), "19-30",
    AND(Dataset[[#This Row],[Age]]&gt;30, Dataset[[#This Row],[Age]]&lt;=60), "31-60",
    Dataset[[#This Row],[Age]]&gt;60, "above 60"
)</f>
        <v>19-30</v>
      </c>
      <c r="D471">
        <v>1</v>
      </c>
      <c r="E471">
        <v>1</v>
      </c>
      <c r="F471">
        <v>1</v>
      </c>
      <c r="G47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71" s="1" t="s">
        <v>49</v>
      </c>
      <c r="I471" s="1" t="s">
        <v>15</v>
      </c>
      <c r="J471" s="1" t="s">
        <v>12</v>
      </c>
      <c r="K471">
        <v>1</v>
      </c>
    </row>
    <row r="472" spans="1:11" x14ac:dyDescent="0.3">
      <c r="A472" s="1" t="s">
        <v>13</v>
      </c>
      <c r="B472">
        <v>45</v>
      </c>
      <c r="C472" t="str" cm="1">
        <f t="array" ref="C472">_xlfn.IFS(
    Dataset[[#This Row],[Age]]&lt;=10, "0-10",
    AND(Dataset[[#This Row],[Age]]&gt;10, Dataset[[#This Row],[Age]]&lt;=18), "11-18",
    AND(Dataset[[#This Row],[Age]]&gt;18, Dataset[[#This Row],[Age]]&lt;=30), "19-30",
    AND(Dataset[[#This Row],[Age]]&gt;30, Dataset[[#This Row],[Age]]&lt;=60), "31-60",
    Dataset[[#This Row],[Age]]&gt;60, "above 60"
)</f>
        <v>31-60</v>
      </c>
      <c r="D472">
        <v>1</v>
      </c>
      <c r="E472">
        <v>1</v>
      </c>
      <c r="F472">
        <v>0</v>
      </c>
      <c r="G47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72" s="1" t="s">
        <v>28</v>
      </c>
      <c r="I472" s="1" t="s">
        <v>11</v>
      </c>
      <c r="J472" s="1" t="s">
        <v>12</v>
      </c>
      <c r="K472">
        <v>1</v>
      </c>
    </row>
    <row r="473" spans="1:11" x14ac:dyDescent="0.3">
      <c r="A473" s="1" t="s">
        <v>13</v>
      </c>
      <c r="B473">
        <v>19</v>
      </c>
      <c r="C473" t="str" cm="1">
        <f t="array" ref="C473">_xlfn.IFS(
    Dataset[[#This Row],[Age]]&lt;=10, "0-10",
    AND(Dataset[[#This Row],[Age]]&gt;10, Dataset[[#This Row],[Age]]&lt;=18), "11-18",
    AND(Dataset[[#This Row],[Age]]&gt;18, Dataset[[#This Row],[Age]]&lt;=30), "19-30",
    AND(Dataset[[#This Row],[Age]]&gt;30, Dataset[[#This Row],[Age]]&lt;=60), "31-60",
    Dataset[[#This Row],[Age]]&gt;60, "above 60"
)</f>
        <v>19-30</v>
      </c>
      <c r="D473">
        <v>0</v>
      </c>
      <c r="E473">
        <v>0</v>
      </c>
      <c r="F473">
        <v>0</v>
      </c>
      <c r="G47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73" s="1" t="s">
        <v>47</v>
      </c>
      <c r="I473" s="1" t="s">
        <v>15</v>
      </c>
      <c r="J473" s="1" t="s">
        <v>12</v>
      </c>
      <c r="K473">
        <v>0</v>
      </c>
    </row>
    <row r="474" spans="1:11" x14ac:dyDescent="0.3">
      <c r="A474" s="1" t="s">
        <v>13</v>
      </c>
      <c r="B474">
        <v>24</v>
      </c>
      <c r="C474" t="str" cm="1">
        <f t="array" ref="C474">_xlfn.IFS(
    Dataset[[#This Row],[Age]]&lt;=10, "0-10",
    AND(Dataset[[#This Row],[Age]]&gt;10, Dataset[[#This Row],[Age]]&lt;=18), "11-18",
    AND(Dataset[[#This Row],[Age]]&gt;18, Dataset[[#This Row],[Age]]&lt;=30), "19-30",
    AND(Dataset[[#This Row],[Age]]&gt;30, Dataset[[#This Row],[Age]]&lt;=60), "31-60",
    Dataset[[#This Row],[Age]]&gt;60, "above 60"
)</f>
        <v>19-30</v>
      </c>
      <c r="D474">
        <v>1</v>
      </c>
      <c r="E474">
        <v>1</v>
      </c>
      <c r="F474">
        <v>0</v>
      </c>
      <c r="G47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74" s="1" t="s">
        <v>46</v>
      </c>
      <c r="I474" s="1" t="s">
        <v>11</v>
      </c>
      <c r="J474" s="1" t="s">
        <v>22</v>
      </c>
      <c r="K474">
        <v>1</v>
      </c>
    </row>
    <row r="475" spans="1:11" x14ac:dyDescent="0.3">
      <c r="A475" s="1" t="s">
        <v>13</v>
      </c>
      <c r="B475">
        <v>48</v>
      </c>
      <c r="C475" t="str" cm="1">
        <f t="array" ref="C475">_xlfn.IFS(
    Dataset[[#This Row],[Age]]&lt;=10, "0-10",
    AND(Dataset[[#This Row],[Age]]&gt;10, Dataset[[#This Row],[Age]]&lt;=18), "11-18",
    AND(Dataset[[#This Row],[Age]]&gt;18, Dataset[[#This Row],[Age]]&lt;=30), "19-30",
    AND(Dataset[[#This Row],[Age]]&gt;30, Dataset[[#This Row],[Age]]&lt;=60), "31-60",
    Dataset[[#This Row],[Age]]&gt;60, "above 60"
)</f>
        <v>31-60</v>
      </c>
      <c r="D475">
        <v>0</v>
      </c>
      <c r="E475">
        <v>0</v>
      </c>
      <c r="F475">
        <v>0</v>
      </c>
      <c r="G47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75" s="1" t="s">
        <v>42</v>
      </c>
      <c r="I475" s="1" t="s">
        <v>15</v>
      </c>
      <c r="J475" s="1" t="s">
        <v>12</v>
      </c>
      <c r="K475">
        <v>0</v>
      </c>
    </row>
    <row r="476" spans="1:11" x14ac:dyDescent="0.3">
      <c r="A476" s="1" t="s">
        <v>9</v>
      </c>
      <c r="B476">
        <v>53</v>
      </c>
      <c r="C476" t="str" cm="1">
        <f t="array" ref="C476">_xlfn.IFS(
    Dataset[[#This Row],[Age]]&lt;=10, "0-10",
    AND(Dataset[[#This Row],[Age]]&gt;10, Dataset[[#This Row],[Age]]&lt;=18), "11-18",
    AND(Dataset[[#This Row],[Age]]&gt;18, Dataset[[#This Row],[Age]]&lt;=30), "19-30",
    AND(Dataset[[#This Row],[Age]]&gt;30, Dataset[[#This Row],[Age]]&lt;=60), "31-60",
    Dataset[[#This Row],[Age]]&gt;60, "above 60"
)</f>
        <v>31-60</v>
      </c>
      <c r="D476">
        <v>1</v>
      </c>
      <c r="E476">
        <v>1</v>
      </c>
      <c r="F476">
        <v>0</v>
      </c>
      <c r="G47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76" s="1" t="s">
        <v>40</v>
      </c>
      <c r="I476" s="1" t="s">
        <v>11</v>
      </c>
      <c r="J476" s="1" t="s">
        <v>22</v>
      </c>
      <c r="K476">
        <v>1</v>
      </c>
    </row>
    <row r="477" spans="1:11" x14ac:dyDescent="0.3">
      <c r="A477" s="1" t="s">
        <v>9</v>
      </c>
      <c r="B477">
        <v>33</v>
      </c>
      <c r="C477" t="str" cm="1">
        <f t="array" ref="C477">_xlfn.IFS(
    Dataset[[#This Row],[Age]]&lt;=10, "0-10",
    AND(Dataset[[#This Row],[Age]]&gt;10, Dataset[[#This Row],[Age]]&lt;=18), "11-18",
    AND(Dataset[[#This Row],[Age]]&gt;18, Dataset[[#This Row],[Age]]&lt;=30), "19-30",
    AND(Dataset[[#This Row],[Age]]&gt;30, Dataset[[#This Row],[Age]]&lt;=60), "31-60",
    Dataset[[#This Row],[Age]]&gt;60, "above 60"
)</f>
        <v>31-60</v>
      </c>
      <c r="D477">
        <v>1</v>
      </c>
      <c r="E477">
        <v>1</v>
      </c>
      <c r="F477">
        <v>0</v>
      </c>
      <c r="G47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77" s="1" t="s">
        <v>38</v>
      </c>
      <c r="I477" s="1" t="s">
        <v>15</v>
      </c>
      <c r="J477" s="1" t="s">
        <v>22</v>
      </c>
      <c r="K477">
        <v>1</v>
      </c>
    </row>
    <row r="478" spans="1:11" x14ac:dyDescent="0.3">
      <c r="A478" s="1" t="s">
        <v>13</v>
      </c>
      <c r="B478">
        <v>41</v>
      </c>
      <c r="C478" t="str" cm="1">
        <f t="array" ref="C478">_xlfn.IFS(
    Dataset[[#This Row],[Age]]&lt;=10, "0-10",
    AND(Dataset[[#This Row],[Age]]&gt;10, Dataset[[#This Row],[Age]]&lt;=18), "11-18",
    AND(Dataset[[#This Row],[Age]]&gt;18, Dataset[[#This Row],[Age]]&lt;=30), "19-30",
    AND(Dataset[[#This Row],[Age]]&gt;30, Dataset[[#This Row],[Age]]&lt;=60), "31-60",
    Dataset[[#This Row],[Age]]&gt;60, "above 60"
)</f>
        <v>31-60</v>
      </c>
      <c r="D478">
        <v>1</v>
      </c>
      <c r="E478">
        <v>1</v>
      </c>
      <c r="F478">
        <v>1</v>
      </c>
      <c r="G47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78" s="1" t="s">
        <v>25</v>
      </c>
      <c r="I478" s="1" t="s">
        <v>11</v>
      </c>
      <c r="J478" s="1" t="s">
        <v>22</v>
      </c>
      <c r="K478">
        <v>1</v>
      </c>
    </row>
    <row r="479" spans="1:11" x14ac:dyDescent="0.3">
      <c r="A479" s="1" t="s">
        <v>9</v>
      </c>
      <c r="B479">
        <v>35</v>
      </c>
      <c r="C479" t="str" cm="1">
        <f t="array" ref="C479">_xlfn.IFS(
    Dataset[[#This Row],[Age]]&lt;=10, "0-10",
    AND(Dataset[[#This Row],[Age]]&gt;10, Dataset[[#This Row],[Age]]&lt;=18), "11-18",
    AND(Dataset[[#This Row],[Age]]&gt;18, Dataset[[#This Row],[Age]]&lt;=30), "19-30",
    AND(Dataset[[#This Row],[Age]]&gt;30, Dataset[[#This Row],[Age]]&lt;=60), "31-60",
    Dataset[[#This Row],[Age]]&gt;60, "above 60"
)</f>
        <v>31-60</v>
      </c>
      <c r="D479">
        <v>0</v>
      </c>
      <c r="E479">
        <v>0</v>
      </c>
      <c r="F479">
        <v>1</v>
      </c>
      <c r="G47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79" s="1" t="s">
        <v>20</v>
      </c>
      <c r="I479" s="1" t="s">
        <v>15</v>
      </c>
      <c r="J479" s="1" t="s">
        <v>12</v>
      </c>
      <c r="K479">
        <v>0</v>
      </c>
    </row>
    <row r="480" spans="1:11" x14ac:dyDescent="0.3">
      <c r="A480" s="1" t="s">
        <v>13</v>
      </c>
      <c r="B480">
        <v>63</v>
      </c>
      <c r="C480" t="str" cm="1">
        <f t="array" ref="C480">_xlfn.IFS(
    Dataset[[#This Row],[Age]]&lt;=10, "0-10",
    AND(Dataset[[#This Row],[Age]]&gt;10, Dataset[[#This Row],[Age]]&lt;=18), "11-18",
    AND(Dataset[[#This Row],[Age]]&gt;18, Dataset[[#This Row],[Age]]&lt;=30), "19-30",
    AND(Dataset[[#This Row],[Age]]&gt;30, Dataset[[#This Row],[Age]]&lt;=60), "31-60",
    Dataset[[#This Row],[Age]]&gt;60, "above 60"
)</f>
        <v>above 60</v>
      </c>
      <c r="D480">
        <v>0</v>
      </c>
      <c r="E480">
        <v>0</v>
      </c>
      <c r="F480">
        <v>0</v>
      </c>
      <c r="G48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80" s="1" t="s">
        <v>20</v>
      </c>
      <c r="I480" s="1" t="s">
        <v>11</v>
      </c>
      <c r="J480" s="1" t="s">
        <v>22</v>
      </c>
      <c r="K480">
        <v>0</v>
      </c>
    </row>
    <row r="481" spans="1:11" x14ac:dyDescent="0.3">
      <c r="A481" s="1" t="s">
        <v>9</v>
      </c>
      <c r="B481">
        <v>54</v>
      </c>
      <c r="C481" t="str" cm="1">
        <f t="array" ref="C481">_xlfn.IFS(
    Dataset[[#This Row],[Age]]&lt;=10, "0-10",
    AND(Dataset[[#This Row],[Age]]&gt;10, Dataset[[#This Row],[Age]]&lt;=18), "11-18",
    AND(Dataset[[#This Row],[Age]]&gt;18, Dataset[[#This Row],[Age]]&lt;=30), "19-30",
    AND(Dataset[[#This Row],[Age]]&gt;30, Dataset[[#This Row],[Age]]&lt;=60), "31-60",
    Dataset[[#This Row],[Age]]&gt;60, "above 60"
)</f>
        <v>31-60</v>
      </c>
      <c r="D481">
        <v>1</v>
      </c>
      <c r="E481">
        <v>1</v>
      </c>
      <c r="F481">
        <v>0</v>
      </c>
      <c r="G48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81" s="1" t="s">
        <v>31</v>
      </c>
      <c r="I481" s="1" t="s">
        <v>15</v>
      </c>
      <c r="J481" s="1" t="s">
        <v>22</v>
      </c>
      <c r="K481">
        <v>1</v>
      </c>
    </row>
    <row r="482" spans="1:11" x14ac:dyDescent="0.3">
      <c r="A482" s="1" t="s">
        <v>9</v>
      </c>
      <c r="B482">
        <v>40</v>
      </c>
      <c r="C482" t="str" cm="1">
        <f t="array" ref="C482">_xlfn.IFS(
    Dataset[[#This Row],[Age]]&lt;=10, "0-10",
    AND(Dataset[[#This Row],[Age]]&gt;10, Dataset[[#This Row],[Age]]&lt;=18), "11-18",
    AND(Dataset[[#This Row],[Age]]&gt;18, Dataset[[#This Row],[Age]]&lt;=30), "19-30",
    AND(Dataset[[#This Row],[Age]]&gt;30, Dataset[[#This Row],[Age]]&lt;=60), "31-60",
    Dataset[[#This Row],[Age]]&gt;60, "above 60"
)</f>
        <v>31-60</v>
      </c>
      <c r="D482">
        <v>1</v>
      </c>
      <c r="E482">
        <v>1</v>
      </c>
      <c r="F482">
        <v>1</v>
      </c>
      <c r="G48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82" s="1" t="s">
        <v>41</v>
      </c>
      <c r="I482" s="1" t="s">
        <v>11</v>
      </c>
      <c r="J482" s="1" t="s">
        <v>22</v>
      </c>
      <c r="K482">
        <v>1</v>
      </c>
    </row>
    <row r="483" spans="1:11" x14ac:dyDescent="0.3">
      <c r="A483" s="1" t="s">
        <v>9</v>
      </c>
      <c r="B483">
        <v>23</v>
      </c>
      <c r="C483" t="str" cm="1">
        <f t="array" ref="C483">_xlfn.IFS(
    Dataset[[#This Row],[Age]]&lt;=10, "0-10",
    AND(Dataset[[#This Row],[Age]]&gt;10, Dataset[[#This Row],[Age]]&lt;=18), "11-18",
    AND(Dataset[[#This Row],[Age]]&gt;18, Dataset[[#This Row],[Age]]&lt;=30), "19-30",
    AND(Dataset[[#This Row],[Age]]&gt;30, Dataset[[#This Row],[Age]]&lt;=60), "31-60",
    Dataset[[#This Row],[Age]]&gt;60, "above 60"
)</f>
        <v>19-30</v>
      </c>
      <c r="D483">
        <v>0</v>
      </c>
      <c r="E483">
        <v>0</v>
      </c>
      <c r="F483">
        <v>1</v>
      </c>
      <c r="G48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83" s="1" t="s">
        <v>50</v>
      </c>
      <c r="I483" s="1" t="s">
        <v>15</v>
      </c>
      <c r="J483" s="1" t="s">
        <v>17</v>
      </c>
      <c r="K483">
        <v>0</v>
      </c>
    </row>
    <row r="484" spans="1:11" x14ac:dyDescent="0.3">
      <c r="A484" s="1" t="s">
        <v>9</v>
      </c>
      <c r="B484">
        <v>55</v>
      </c>
      <c r="C484" t="str" cm="1">
        <f t="array" ref="C484">_xlfn.IFS(
    Dataset[[#This Row],[Age]]&lt;=10, "0-10",
    AND(Dataset[[#This Row],[Age]]&gt;10, Dataset[[#This Row],[Age]]&lt;=18), "11-18",
    AND(Dataset[[#This Row],[Age]]&gt;18, Dataset[[#This Row],[Age]]&lt;=30), "19-30",
    AND(Dataset[[#This Row],[Age]]&gt;30, Dataset[[#This Row],[Age]]&lt;=60), "31-60",
    Dataset[[#This Row],[Age]]&gt;60, "above 60"
)</f>
        <v>31-60</v>
      </c>
      <c r="D484">
        <v>0</v>
      </c>
      <c r="E484">
        <v>0</v>
      </c>
      <c r="F484">
        <v>0</v>
      </c>
      <c r="G48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84" s="1" t="s">
        <v>25</v>
      </c>
      <c r="I484" s="1" t="s">
        <v>11</v>
      </c>
      <c r="J484" s="1" t="s">
        <v>17</v>
      </c>
      <c r="K484">
        <v>0</v>
      </c>
    </row>
    <row r="485" spans="1:11" x14ac:dyDescent="0.3">
      <c r="A485" s="1" t="s">
        <v>9</v>
      </c>
      <c r="B485">
        <v>32</v>
      </c>
      <c r="C485" t="str" cm="1">
        <f t="array" ref="C485">_xlfn.IFS(
    Dataset[[#This Row],[Age]]&lt;=10, "0-10",
    AND(Dataset[[#This Row],[Age]]&gt;10, Dataset[[#This Row],[Age]]&lt;=18), "11-18",
    AND(Dataset[[#This Row],[Age]]&gt;18, Dataset[[#This Row],[Age]]&lt;=30), "19-30",
    AND(Dataset[[#This Row],[Age]]&gt;30, Dataset[[#This Row],[Age]]&lt;=60), "31-60",
    Dataset[[#This Row],[Age]]&gt;60, "above 60"
)</f>
        <v>31-60</v>
      </c>
      <c r="D485">
        <v>0</v>
      </c>
      <c r="E485">
        <v>0</v>
      </c>
      <c r="F485">
        <v>0</v>
      </c>
      <c r="G48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85" s="1" t="s">
        <v>40</v>
      </c>
      <c r="I485" s="1" t="s">
        <v>15</v>
      </c>
      <c r="J485" s="1" t="s">
        <v>17</v>
      </c>
      <c r="K485">
        <v>0</v>
      </c>
    </row>
    <row r="486" spans="1:11" x14ac:dyDescent="0.3">
      <c r="A486" s="1" t="s">
        <v>13</v>
      </c>
      <c r="B486">
        <v>13</v>
      </c>
      <c r="C486" t="str" cm="1">
        <f t="array" ref="C486">_xlfn.IFS(
    Dataset[[#This Row],[Age]]&lt;=10, "0-10",
    AND(Dataset[[#This Row],[Age]]&gt;10, Dataset[[#This Row],[Age]]&lt;=18), "11-18",
    AND(Dataset[[#This Row],[Age]]&gt;18, Dataset[[#This Row],[Age]]&lt;=30), "19-30",
    AND(Dataset[[#This Row],[Age]]&gt;30, Dataset[[#This Row],[Age]]&lt;=60), "31-60",
    Dataset[[#This Row],[Age]]&gt;60, "above 60"
)</f>
        <v>11-18</v>
      </c>
      <c r="D486">
        <v>0</v>
      </c>
      <c r="E486">
        <v>0</v>
      </c>
      <c r="F486">
        <v>1</v>
      </c>
      <c r="G48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86" s="1" t="s">
        <v>19</v>
      </c>
      <c r="I486" s="1" t="s">
        <v>11</v>
      </c>
      <c r="J486" s="1" t="s">
        <v>22</v>
      </c>
      <c r="K486">
        <v>0</v>
      </c>
    </row>
    <row r="487" spans="1:11" x14ac:dyDescent="0.3">
      <c r="A487" s="1" t="s">
        <v>13</v>
      </c>
      <c r="B487">
        <v>44</v>
      </c>
      <c r="C487" t="str" cm="1">
        <f t="array" ref="C487">_xlfn.IFS(
    Dataset[[#This Row],[Age]]&lt;=10, "0-10",
    AND(Dataset[[#This Row],[Age]]&gt;10, Dataset[[#This Row],[Age]]&lt;=18), "11-18",
    AND(Dataset[[#This Row],[Age]]&gt;18, Dataset[[#This Row],[Age]]&lt;=30), "19-30",
    AND(Dataset[[#This Row],[Age]]&gt;30, Dataset[[#This Row],[Age]]&lt;=60), "31-60",
    Dataset[[#This Row],[Age]]&gt;60, "above 60"
)</f>
        <v>31-60</v>
      </c>
      <c r="D487">
        <v>1</v>
      </c>
      <c r="E487">
        <v>1</v>
      </c>
      <c r="F487">
        <v>0</v>
      </c>
      <c r="G48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87" s="1" t="s">
        <v>38</v>
      </c>
      <c r="I487" s="1" t="s">
        <v>15</v>
      </c>
      <c r="J487" s="1" t="s">
        <v>12</v>
      </c>
      <c r="K487">
        <v>1</v>
      </c>
    </row>
    <row r="488" spans="1:11" x14ac:dyDescent="0.3">
      <c r="A488" s="1" t="s">
        <v>9</v>
      </c>
      <c r="B488">
        <v>52</v>
      </c>
      <c r="C488" t="str" cm="1">
        <f t="array" ref="C488">_xlfn.IFS(
    Dataset[[#This Row],[Age]]&lt;=10, "0-10",
    AND(Dataset[[#This Row],[Age]]&gt;10, Dataset[[#This Row],[Age]]&lt;=18), "11-18",
    AND(Dataset[[#This Row],[Age]]&gt;18, Dataset[[#This Row],[Age]]&lt;=30), "19-30",
    AND(Dataset[[#This Row],[Age]]&gt;30, Dataset[[#This Row],[Age]]&lt;=60), "31-60",
    Dataset[[#This Row],[Age]]&gt;60, "above 60"
)</f>
        <v>31-60</v>
      </c>
      <c r="D488">
        <v>0</v>
      </c>
      <c r="E488">
        <v>0</v>
      </c>
      <c r="F488">
        <v>1</v>
      </c>
      <c r="G48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88" s="1" t="s">
        <v>28</v>
      </c>
      <c r="I488" s="1" t="s">
        <v>11</v>
      </c>
      <c r="J488" s="1" t="s">
        <v>22</v>
      </c>
      <c r="K488">
        <v>0</v>
      </c>
    </row>
    <row r="489" spans="1:11" x14ac:dyDescent="0.3">
      <c r="A489" s="1" t="s">
        <v>13</v>
      </c>
      <c r="B489">
        <v>65</v>
      </c>
      <c r="C489" t="str" cm="1">
        <f t="array" ref="C489">_xlfn.IFS(
    Dataset[[#This Row],[Age]]&lt;=10, "0-10",
    AND(Dataset[[#This Row],[Age]]&gt;10, Dataset[[#This Row],[Age]]&lt;=18), "11-18",
    AND(Dataset[[#This Row],[Age]]&gt;18, Dataset[[#This Row],[Age]]&lt;=30), "19-30",
    AND(Dataset[[#This Row],[Age]]&gt;30, Dataset[[#This Row],[Age]]&lt;=60), "31-60",
    Dataset[[#This Row],[Age]]&gt;60, "above 60"
)</f>
        <v>above 60</v>
      </c>
      <c r="D489">
        <v>0</v>
      </c>
      <c r="E489">
        <v>0</v>
      </c>
      <c r="F489">
        <v>0</v>
      </c>
      <c r="G48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89" s="1" t="s">
        <v>30</v>
      </c>
      <c r="I489" s="1" t="s">
        <v>15</v>
      </c>
      <c r="J489" s="1" t="s">
        <v>17</v>
      </c>
      <c r="K489">
        <v>0</v>
      </c>
    </row>
    <row r="490" spans="1:11" x14ac:dyDescent="0.3">
      <c r="A490" s="1" t="s">
        <v>13</v>
      </c>
      <c r="B490">
        <v>55</v>
      </c>
      <c r="C490" t="str" cm="1">
        <f t="array" ref="C490">_xlfn.IFS(
    Dataset[[#This Row],[Age]]&lt;=10, "0-10",
    AND(Dataset[[#This Row],[Age]]&gt;10, Dataset[[#This Row],[Age]]&lt;=18), "11-18",
    AND(Dataset[[#This Row],[Age]]&gt;18, Dataset[[#This Row],[Age]]&lt;=30), "19-30",
    AND(Dataset[[#This Row],[Age]]&gt;30, Dataset[[#This Row],[Age]]&lt;=60), "31-60",
    Dataset[[#This Row],[Age]]&gt;60, "above 60"
)</f>
        <v>31-60</v>
      </c>
      <c r="D490">
        <v>0</v>
      </c>
      <c r="E490">
        <v>0</v>
      </c>
      <c r="F490">
        <v>0</v>
      </c>
      <c r="G49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90" s="1" t="s">
        <v>35</v>
      </c>
      <c r="I490" s="1" t="s">
        <v>11</v>
      </c>
      <c r="J490" s="1" t="s">
        <v>17</v>
      </c>
      <c r="K490">
        <v>0</v>
      </c>
    </row>
    <row r="491" spans="1:11" x14ac:dyDescent="0.3">
      <c r="A491" s="1" t="s">
        <v>9</v>
      </c>
      <c r="B491">
        <v>17</v>
      </c>
      <c r="C491" t="str" cm="1">
        <f t="array" ref="C491">_xlfn.IFS(
    Dataset[[#This Row],[Age]]&lt;=10, "0-10",
    AND(Dataset[[#This Row],[Age]]&gt;10, Dataset[[#This Row],[Age]]&lt;=18), "11-18",
    AND(Dataset[[#This Row],[Age]]&gt;18, Dataset[[#This Row],[Age]]&lt;=30), "19-30",
    AND(Dataset[[#This Row],[Age]]&gt;30, Dataset[[#This Row],[Age]]&lt;=60), "31-60",
    Dataset[[#This Row],[Age]]&gt;60, "above 60"
)</f>
        <v>11-18</v>
      </c>
      <c r="D491">
        <v>0</v>
      </c>
      <c r="E491">
        <v>0</v>
      </c>
      <c r="F491">
        <v>1</v>
      </c>
      <c r="G49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91" s="1" t="s">
        <v>10</v>
      </c>
      <c r="I491" s="1" t="s">
        <v>15</v>
      </c>
      <c r="J491" s="1" t="s">
        <v>17</v>
      </c>
      <c r="K491">
        <v>0</v>
      </c>
    </row>
    <row r="492" spans="1:11" x14ac:dyDescent="0.3">
      <c r="A492" s="1" t="s">
        <v>9</v>
      </c>
      <c r="B492">
        <v>31</v>
      </c>
      <c r="C492" t="str" cm="1">
        <f t="array" ref="C492">_xlfn.IFS(
    Dataset[[#This Row],[Age]]&lt;=10, "0-10",
    AND(Dataset[[#This Row],[Age]]&gt;10, Dataset[[#This Row],[Age]]&lt;=18), "11-18",
    AND(Dataset[[#This Row],[Age]]&gt;18, Dataset[[#This Row],[Age]]&lt;=30), "19-30",
    AND(Dataset[[#This Row],[Age]]&gt;30, Dataset[[#This Row],[Age]]&lt;=60), "31-60",
    Dataset[[#This Row],[Age]]&gt;60, "above 60"
)</f>
        <v>31-60</v>
      </c>
      <c r="D492">
        <v>1</v>
      </c>
      <c r="E492">
        <v>1</v>
      </c>
      <c r="F492">
        <v>0</v>
      </c>
      <c r="G49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92" s="1" t="s">
        <v>35</v>
      </c>
      <c r="I492" s="1" t="s">
        <v>11</v>
      </c>
      <c r="J492" s="1" t="s">
        <v>12</v>
      </c>
      <c r="K492">
        <v>1</v>
      </c>
    </row>
    <row r="493" spans="1:11" x14ac:dyDescent="0.3">
      <c r="A493" s="1" t="s">
        <v>13</v>
      </c>
      <c r="B493">
        <v>9</v>
      </c>
      <c r="C493" t="str" cm="1">
        <f t="array" ref="C493">_xlfn.IFS(
    Dataset[[#This Row],[Age]]&lt;=10, "0-10",
    AND(Dataset[[#This Row],[Age]]&gt;10, Dataset[[#This Row],[Age]]&lt;=18), "11-18",
    AND(Dataset[[#This Row],[Age]]&gt;18, Dataset[[#This Row],[Age]]&lt;=30), "19-30",
    AND(Dataset[[#This Row],[Age]]&gt;30, Dataset[[#This Row],[Age]]&lt;=60), "31-60",
    Dataset[[#This Row],[Age]]&gt;60, "above 60"
)</f>
        <v>0-10</v>
      </c>
      <c r="D493">
        <v>1</v>
      </c>
      <c r="E493">
        <v>1</v>
      </c>
      <c r="F493">
        <v>1</v>
      </c>
      <c r="G49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93" s="1" t="s">
        <v>37</v>
      </c>
      <c r="I493" s="1" t="s">
        <v>15</v>
      </c>
      <c r="J493" s="1" t="s">
        <v>22</v>
      </c>
      <c r="K493">
        <v>1</v>
      </c>
    </row>
    <row r="494" spans="1:11" x14ac:dyDescent="0.3">
      <c r="A494" s="1" t="s">
        <v>13</v>
      </c>
      <c r="B494">
        <v>22</v>
      </c>
      <c r="C494" t="str" cm="1">
        <f t="array" ref="C494">_xlfn.IFS(
    Dataset[[#This Row],[Age]]&lt;=10, "0-10",
    AND(Dataset[[#This Row],[Age]]&gt;10, Dataset[[#This Row],[Age]]&lt;=18), "11-18",
    AND(Dataset[[#This Row],[Age]]&gt;18, Dataset[[#This Row],[Age]]&lt;=30), "19-30",
    AND(Dataset[[#This Row],[Age]]&gt;30, Dataset[[#This Row],[Age]]&lt;=60), "31-60",
    Dataset[[#This Row],[Age]]&gt;60, "above 60"
)</f>
        <v>19-30</v>
      </c>
      <c r="D494">
        <v>1</v>
      </c>
      <c r="E494">
        <v>1</v>
      </c>
      <c r="F494">
        <v>0</v>
      </c>
      <c r="G49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94" s="1" t="s">
        <v>37</v>
      </c>
      <c r="I494" s="1" t="s">
        <v>11</v>
      </c>
      <c r="J494" s="1" t="s">
        <v>22</v>
      </c>
      <c r="K494">
        <v>1</v>
      </c>
    </row>
    <row r="495" spans="1:11" x14ac:dyDescent="0.3">
      <c r="A495" s="1" t="s">
        <v>9</v>
      </c>
      <c r="B495">
        <v>21</v>
      </c>
      <c r="C495" t="str" cm="1">
        <f t="array" ref="C495">_xlfn.IFS(
    Dataset[[#This Row],[Age]]&lt;=10, "0-10",
    AND(Dataset[[#This Row],[Age]]&gt;10, Dataset[[#This Row],[Age]]&lt;=18), "11-18",
    AND(Dataset[[#This Row],[Age]]&gt;18, Dataset[[#This Row],[Age]]&lt;=30), "19-30",
    AND(Dataset[[#This Row],[Age]]&gt;30, Dataset[[#This Row],[Age]]&lt;=60), "31-60",
    Dataset[[#This Row],[Age]]&gt;60, "above 60"
)</f>
        <v>19-30</v>
      </c>
      <c r="D495">
        <v>1</v>
      </c>
      <c r="E495">
        <v>1</v>
      </c>
      <c r="F495">
        <v>0</v>
      </c>
      <c r="G49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95" s="1" t="s">
        <v>45</v>
      </c>
      <c r="I495" s="1" t="s">
        <v>15</v>
      </c>
      <c r="J495" s="1" t="s">
        <v>17</v>
      </c>
      <c r="K495">
        <v>1</v>
      </c>
    </row>
    <row r="496" spans="1:11" x14ac:dyDescent="0.3">
      <c r="A496" s="1" t="s">
        <v>9</v>
      </c>
      <c r="B496">
        <v>15</v>
      </c>
      <c r="C496" t="str" cm="1">
        <f t="array" ref="C496">_xlfn.IFS(
    Dataset[[#This Row],[Age]]&lt;=10, "0-10",
    AND(Dataset[[#This Row],[Age]]&gt;10, Dataset[[#This Row],[Age]]&lt;=18), "11-18",
    AND(Dataset[[#This Row],[Age]]&gt;18, Dataset[[#This Row],[Age]]&lt;=30), "19-30",
    AND(Dataset[[#This Row],[Age]]&gt;30, Dataset[[#This Row],[Age]]&lt;=60), "31-60",
    Dataset[[#This Row],[Age]]&gt;60, "above 60"
)</f>
        <v>11-18</v>
      </c>
      <c r="D496">
        <v>1</v>
      </c>
      <c r="E496">
        <v>1</v>
      </c>
      <c r="F496">
        <v>0</v>
      </c>
      <c r="G49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96" s="1" t="s">
        <v>50</v>
      </c>
      <c r="I496" s="1" t="s">
        <v>11</v>
      </c>
      <c r="J496" s="1" t="s">
        <v>12</v>
      </c>
      <c r="K496">
        <v>1</v>
      </c>
    </row>
    <row r="497" spans="1:11" x14ac:dyDescent="0.3">
      <c r="A497" s="1" t="s">
        <v>13</v>
      </c>
      <c r="B497">
        <v>40</v>
      </c>
      <c r="C497" t="str" cm="1">
        <f t="array" ref="C497">_xlfn.IFS(
    Dataset[[#This Row],[Age]]&lt;=10, "0-10",
    AND(Dataset[[#This Row],[Age]]&gt;10, Dataset[[#This Row],[Age]]&lt;=18), "11-18",
    AND(Dataset[[#This Row],[Age]]&gt;18, Dataset[[#This Row],[Age]]&lt;=30), "19-30",
    AND(Dataset[[#This Row],[Age]]&gt;30, Dataset[[#This Row],[Age]]&lt;=60), "31-60",
    Dataset[[#This Row],[Age]]&gt;60, "above 60"
)</f>
        <v>31-60</v>
      </c>
      <c r="D497">
        <v>1</v>
      </c>
      <c r="E497">
        <v>1</v>
      </c>
      <c r="F497">
        <v>0</v>
      </c>
      <c r="G49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97" s="1" t="s">
        <v>47</v>
      </c>
      <c r="I497" s="1" t="s">
        <v>15</v>
      </c>
      <c r="J497" s="1" t="s">
        <v>22</v>
      </c>
      <c r="K497">
        <v>1</v>
      </c>
    </row>
    <row r="498" spans="1:11" x14ac:dyDescent="0.3">
      <c r="A498" s="1" t="s">
        <v>9</v>
      </c>
      <c r="B498">
        <v>37</v>
      </c>
      <c r="C498" t="str" cm="1">
        <f t="array" ref="C498">_xlfn.IFS(
    Dataset[[#This Row],[Age]]&lt;=10, "0-10",
    AND(Dataset[[#This Row],[Age]]&gt;10, Dataset[[#This Row],[Age]]&lt;=18), "11-18",
    AND(Dataset[[#This Row],[Age]]&gt;18, Dataset[[#This Row],[Age]]&lt;=30), "19-30",
    AND(Dataset[[#This Row],[Age]]&gt;30, Dataset[[#This Row],[Age]]&lt;=60), "31-60",
    Dataset[[#This Row],[Age]]&gt;60, "above 60"
)</f>
        <v>31-60</v>
      </c>
      <c r="D498">
        <v>1</v>
      </c>
      <c r="E498">
        <v>1</v>
      </c>
      <c r="F498">
        <v>1</v>
      </c>
      <c r="G49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498" s="1" t="s">
        <v>18</v>
      </c>
      <c r="I498" s="1" t="s">
        <v>11</v>
      </c>
      <c r="J498" s="1" t="s">
        <v>12</v>
      </c>
      <c r="K498">
        <v>1</v>
      </c>
    </row>
    <row r="499" spans="1:11" x14ac:dyDescent="0.3">
      <c r="A499" s="1" t="s">
        <v>13</v>
      </c>
      <c r="B499">
        <v>53</v>
      </c>
      <c r="C499" t="str" cm="1">
        <f t="array" ref="C499">_xlfn.IFS(
    Dataset[[#This Row],[Age]]&lt;=10, "0-10",
    AND(Dataset[[#This Row],[Age]]&gt;10, Dataset[[#This Row],[Age]]&lt;=18), "11-18",
    AND(Dataset[[#This Row],[Age]]&gt;18, Dataset[[#This Row],[Age]]&lt;=30), "19-30",
    AND(Dataset[[#This Row],[Age]]&gt;30, Dataset[[#This Row],[Age]]&lt;=60), "31-60",
    Dataset[[#This Row],[Age]]&gt;60, "above 60"
)</f>
        <v>31-60</v>
      </c>
      <c r="D499">
        <v>0</v>
      </c>
      <c r="E499">
        <v>0</v>
      </c>
      <c r="F499">
        <v>0</v>
      </c>
      <c r="G49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499" s="1" t="s">
        <v>19</v>
      </c>
      <c r="I499" s="1" t="s">
        <v>15</v>
      </c>
      <c r="J499" s="1" t="s">
        <v>17</v>
      </c>
      <c r="K499">
        <v>0</v>
      </c>
    </row>
    <row r="500" spans="1:11" x14ac:dyDescent="0.3">
      <c r="A500" s="1" t="s">
        <v>9</v>
      </c>
      <c r="B500">
        <v>46</v>
      </c>
      <c r="C500" t="str" cm="1">
        <f t="array" ref="C500">_xlfn.IFS(
    Dataset[[#This Row],[Age]]&lt;=10, "0-10",
    AND(Dataset[[#This Row],[Age]]&gt;10, Dataset[[#This Row],[Age]]&lt;=18), "11-18",
    AND(Dataset[[#This Row],[Age]]&gt;18, Dataset[[#This Row],[Age]]&lt;=30), "19-30",
    AND(Dataset[[#This Row],[Age]]&gt;30, Dataset[[#This Row],[Age]]&lt;=60), "31-60",
    Dataset[[#This Row],[Age]]&gt;60, "above 60"
)</f>
        <v>31-60</v>
      </c>
      <c r="D500">
        <v>0</v>
      </c>
      <c r="E500">
        <v>0</v>
      </c>
      <c r="F500">
        <v>0</v>
      </c>
      <c r="G50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00" s="1" t="s">
        <v>21</v>
      </c>
      <c r="I500" s="1" t="s">
        <v>11</v>
      </c>
      <c r="J500" s="1" t="s">
        <v>22</v>
      </c>
      <c r="K500">
        <v>0</v>
      </c>
    </row>
    <row r="501" spans="1:11" x14ac:dyDescent="0.3">
      <c r="A501" s="1" t="s">
        <v>13</v>
      </c>
      <c r="B501">
        <v>9</v>
      </c>
      <c r="C501" t="str" cm="1">
        <f t="array" ref="C501">_xlfn.IFS(
    Dataset[[#This Row],[Age]]&lt;=10, "0-10",
    AND(Dataset[[#This Row],[Age]]&gt;10, Dataset[[#This Row],[Age]]&lt;=18), "11-18",
    AND(Dataset[[#This Row],[Age]]&gt;18, Dataset[[#This Row],[Age]]&lt;=30), "19-30",
    AND(Dataset[[#This Row],[Age]]&gt;30, Dataset[[#This Row],[Age]]&lt;=60), "31-60",
    Dataset[[#This Row],[Age]]&gt;60, "above 60"
)</f>
        <v>0-10</v>
      </c>
      <c r="D501">
        <v>1</v>
      </c>
      <c r="E501">
        <v>1</v>
      </c>
      <c r="F501">
        <v>1</v>
      </c>
      <c r="G50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01" s="1" t="s">
        <v>32</v>
      </c>
      <c r="I501" s="1" t="s">
        <v>15</v>
      </c>
      <c r="J501" s="1" t="s">
        <v>17</v>
      </c>
      <c r="K501">
        <v>1</v>
      </c>
    </row>
    <row r="502" spans="1:11" x14ac:dyDescent="0.3">
      <c r="A502" s="1" t="s">
        <v>13</v>
      </c>
      <c r="B502">
        <v>35</v>
      </c>
      <c r="C502" t="str" cm="1">
        <f t="array" ref="C502">_xlfn.IFS(
    Dataset[[#This Row],[Age]]&lt;=10, "0-10",
    AND(Dataset[[#This Row],[Age]]&gt;10, Dataset[[#This Row],[Age]]&lt;=18), "11-18",
    AND(Dataset[[#This Row],[Age]]&gt;18, Dataset[[#This Row],[Age]]&lt;=30), "19-30",
    AND(Dataset[[#This Row],[Age]]&gt;30, Dataset[[#This Row],[Age]]&lt;=60), "31-60",
    Dataset[[#This Row],[Age]]&gt;60, "above 60"
)</f>
        <v>31-60</v>
      </c>
      <c r="D502">
        <v>0</v>
      </c>
      <c r="E502">
        <v>0</v>
      </c>
      <c r="F502">
        <v>1</v>
      </c>
      <c r="G50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02" s="1" t="s">
        <v>21</v>
      </c>
      <c r="I502" s="1" t="s">
        <v>11</v>
      </c>
      <c r="J502" s="1" t="s">
        <v>22</v>
      </c>
      <c r="K502">
        <v>0</v>
      </c>
    </row>
    <row r="503" spans="1:11" x14ac:dyDescent="0.3">
      <c r="A503" s="1" t="s">
        <v>9</v>
      </c>
      <c r="B503">
        <v>18</v>
      </c>
      <c r="C503" t="str" cm="1">
        <f t="array" ref="C503">_xlfn.IFS(
    Dataset[[#This Row],[Age]]&lt;=10, "0-10",
    AND(Dataset[[#This Row],[Age]]&gt;10, Dataset[[#This Row],[Age]]&lt;=18), "11-18",
    AND(Dataset[[#This Row],[Age]]&gt;18, Dataset[[#This Row],[Age]]&lt;=30), "19-30",
    AND(Dataset[[#This Row],[Age]]&gt;30, Dataset[[#This Row],[Age]]&lt;=60), "31-60",
    Dataset[[#This Row],[Age]]&gt;60, "above 60"
)</f>
        <v>11-18</v>
      </c>
      <c r="D503">
        <v>0</v>
      </c>
      <c r="E503">
        <v>0</v>
      </c>
      <c r="F503">
        <v>1</v>
      </c>
      <c r="G50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03" s="1" t="s">
        <v>34</v>
      </c>
      <c r="I503" s="1" t="s">
        <v>15</v>
      </c>
      <c r="J503" s="1" t="s">
        <v>17</v>
      </c>
      <c r="K503">
        <v>0</v>
      </c>
    </row>
    <row r="504" spans="1:11" x14ac:dyDescent="0.3">
      <c r="A504" s="1" t="s">
        <v>9</v>
      </c>
      <c r="B504">
        <v>10</v>
      </c>
      <c r="C504" t="str" cm="1">
        <f t="array" ref="C504">_xlfn.IFS(
    Dataset[[#This Row],[Age]]&lt;=10, "0-10",
    AND(Dataset[[#This Row],[Age]]&gt;10, Dataset[[#This Row],[Age]]&lt;=18), "11-18",
    AND(Dataset[[#This Row],[Age]]&gt;18, Dataset[[#This Row],[Age]]&lt;=30), "19-30",
    AND(Dataset[[#This Row],[Age]]&gt;30, Dataset[[#This Row],[Age]]&lt;=60), "31-60",
    Dataset[[#This Row],[Age]]&gt;60, "above 60"
)</f>
        <v>0-10</v>
      </c>
      <c r="D504">
        <v>0</v>
      </c>
      <c r="E504">
        <v>0</v>
      </c>
      <c r="F504">
        <v>1</v>
      </c>
      <c r="G50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04" s="1" t="s">
        <v>33</v>
      </c>
      <c r="I504" s="1" t="s">
        <v>11</v>
      </c>
      <c r="J504" s="1" t="s">
        <v>17</v>
      </c>
      <c r="K504">
        <v>0</v>
      </c>
    </row>
    <row r="505" spans="1:11" x14ac:dyDescent="0.3">
      <c r="A505" s="1" t="s">
        <v>9</v>
      </c>
      <c r="B505">
        <v>13</v>
      </c>
      <c r="C505" t="str" cm="1">
        <f t="array" ref="C505">_xlfn.IFS(
    Dataset[[#This Row],[Age]]&lt;=10, "0-10",
    AND(Dataset[[#This Row],[Age]]&gt;10, Dataset[[#This Row],[Age]]&lt;=18), "11-18",
    AND(Dataset[[#This Row],[Age]]&gt;18, Dataset[[#This Row],[Age]]&lt;=30), "19-30",
    AND(Dataset[[#This Row],[Age]]&gt;30, Dataset[[#This Row],[Age]]&lt;=60), "31-60",
    Dataset[[#This Row],[Age]]&gt;60, "above 60"
)</f>
        <v>11-18</v>
      </c>
      <c r="D505">
        <v>1</v>
      </c>
      <c r="E505">
        <v>1</v>
      </c>
      <c r="F505">
        <v>1</v>
      </c>
      <c r="G50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05" s="1" t="s">
        <v>10</v>
      </c>
      <c r="I505" s="1" t="s">
        <v>15</v>
      </c>
      <c r="J505" s="1" t="s">
        <v>22</v>
      </c>
      <c r="K505">
        <v>1</v>
      </c>
    </row>
    <row r="506" spans="1:11" x14ac:dyDescent="0.3">
      <c r="A506" s="1" t="s">
        <v>9</v>
      </c>
      <c r="B506">
        <v>19</v>
      </c>
      <c r="C506" t="str" cm="1">
        <f t="array" ref="C506">_xlfn.IFS(
    Dataset[[#This Row],[Age]]&lt;=10, "0-10",
    AND(Dataset[[#This Row],[Age]]&gt;10, Dataset[[#This Row],[Age]]&lt;=18), "11-18",
    AND(Dataset[[#This Row],[Age]]&gt;18, Dataset[[#This Row],[Age]]&lt;=30), "19-30",
    AND(Dataset[[#This Row],[Age]]&gt;30, Dataset[[#This Row],[Age]]&lt;=60), "31-60",
    Dataset[[#This Row],[Age]]&gt;60, "above 60"
)</f>
        <v>19-30</v>
      </c>
      <c r="D506">
        <v>1</v>
      </c>
      <c r="E506">
        <v>1</v>
      </c>
      <c r="F506">
        <v>0</v>
      </c>
      <c r="G50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06" s="1" t="s">
        <v>49</v>
      </c>
      <c r="I506" s="1" t="s">
        <v>11</v>
      </c>
      <c r="J506" s="1" t="s">
        <v>22</v>
      </c>
      <c r="K506">
        <v>1</v>
      </c>
    </row>
    <row r="507" spans="1:11" x14ac:dyDescent="0.3">
      <c r="A507" s="1" t="s">
        <v>13</v>
      </c>
      <c r="B507">
        <v>37</v>
      </c>
      <c r="C507" t="str" cm="1">
        <f t="array" ref="C507">_xlfn.IFS(
    Dataset[[#This Row],[Age]]&lt;=10, "0-10",
    AND(Dataset[[#This Row],[Age]]&gt;10, Dataset[[#This Row],[Age]]&lt;=18), "11-18",
    AND(Dataset[[#This Row],[Age]]&gt;18, Dataset[[#This Row],[Age]]&lt;=30), "19-30",
    AND(Dataset[[#This Row],[Age]]&gt;30, Dataset[[#This Row],[Age]]&lt;=60), "31-60",
    Dataset[[#This Row],[Age]]&gt;60, "above 60"
)</f>
        <v>31-60</v>
      </c>
      <c r="D507">
        <v>0</v>
      </c>
      <c r="E507">
        <v>0</v>
      </c>
      <c r="F507">
        <v>1</v>
      </c>
      <c r="G50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07" s="1" t="s">
        <v>29</v>
      </c>
      <c r="I507" s="1" t="s">
        <v>15</v>
      </c>
      <c r="J507" s="1" t="s">
        <v>17</v>
      </c>
      <c r="K507">
        <v>0</v>
      </c>
    </row>
    <row r="508" spans="1:11" x14ac:dyDescent="0.3">
      <c r="A508" s="1" t="s">
        <v>9</v>
      </c>
      <c r="B508">
        <v>40</v>
      </c>
      <c r="C508" t="str" cm="1">
        <f t="array" ref="C508">_xlfn.IFS(
    Dataset[[#This Row],[Age]]&lt;=10, "0-10",
    AND(Dataset[[#This Row],[Age]]&gt;10, Dataset[[#This Row],[Age]]&lt;=18), "11-18",
    AND(Dataset[[#This Row],[Age]]&gt;18, Dataset[[#This Row],[Age]]&lt;=30), "19-30",
    AND(Dataset[[#This Row],[Age]]&gt;30, Dataset[[#This Row],[Age]]&lt;=60), "31-60",
    Dataset[[#This Row],[Age]]&gt;60, "above 60"
)</f>
        <v>31-60</v>
      </c>
      <c r="D508">
        <v>1</v>
      </c>
      <c r="E508">
        <v>1</v>
      </c>
      <c r="F508">
        <v>0</v>
      </c>
      <c r="G50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08" s="1" t="s">
        <v>47</v>
      </c>
      <c r="I508" s="1" t="s">
        <v>11</v>
      </c>
      <c r="J508" s="1" t="s">
        <v>12</v>
      </c>
      <c r="K508">
        <v>1</v>
      </c>
    </row>
    <row r="509" spans="1:11" x14ac:dyDescent="0.3">
      <c r="A509" s="1" t="s">
        <v>9</v>
      </c>
      <c r="B509">
        <v>10</v>
      </c>
      <c r="C509" t="str" cm="1">
        <f t="array" ref="C509">_xlfn.IFS(
    Dataset[[#This Row],[Age]]&lt;=10, "0-10",
    AND(Dataset[[#This Row],[Age]]&gt;10, Dataset[[#This Row],[Age]]&lt;=18), "11-18",
    AND(Dataset[[#This Row],[Age]]&gt;18, Dataset[[#This Row],[Age]]&lt;=30), "19-30",
    AND(Dataset[[#This Row],[Age]]&gt;30, Dataset[[#This Row],[Age]]&lt;=60), "31-60",
    Dataset[[#This Row],[Age]]&gt;60, "above 60"
)</f>
        <v>0-10</v>
      </c>
      <c r="D509">
        <v>0</v>
      </c>
      <c r="E509">
        <v>0</v>
      </c>
      <c r="F509">
        <v>0</v>
      </c>
      <c r="G50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09" s="1" t="s">
        <v>47</v>
      </c>
      <c r="I509" s="1" t="s">
        <v>15</v>
      </c>
      <c r="J509" s="1" t="s">
        <v>22</v>
      </c>
      <c r="K509">
        <v>0</v>
      </c>
    </row>
    <row r="510" spans="1:11" x14ac:dyDescent="0.3">
      <c r="A510" s="1" t="s">
        <v>9</v>
      </c>
      <c r="B510">
        <v>17</v>
      </c>
      <c r="C510" t="str" cm="1">
        <f t="array" ref="C510">_xlfn.IFS(
    Dataset[[#This Row],[Age]]&lt;=10, "0-10",
    AND(Dataset[[#This Row],[Age]]&gt;10, Dataset[[#This Row],[Age]]&lt;=18), "11-18",
    AND(Dataset[[#This Row],[Age]]&gt;18, Dataset[[#This Row],[Age]]&lt;=30), "19-30",
    AND(Dataset[[#This Row],[Age]]&gt;30, Dataset[[#This Row],[Age]]&lt;=60), "31-60",
    Dataset[[#This Row],[Age]]&gt;60, "above 60"
)</f>
        <v>11-18</v>
      </c>
      <c r="D510">
        <v>0</v>
      </c>
      <c r="E510">
        <v>0</v>
      </c>
      <c r="F510">
        <v>1</v>
      </c>
      <c r="G51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10" s="1" t="s">
        <v>23</v>
      </c>
      <c r="I510" s="1" t="s">
        <v>11</v>
      </c>
      <c r="J510" s="1" t="s">
        <v>17</v>
      </c>
      <c r="K510">
        <v>0</v>
      </c>
    </row>
    <row r="511" spans="1:11" x14ac:dyDescent="0.3">
      <c r="A511" s="1" t="s">
        <v>9</v>
      </c>
      <c r="B511">
        <v>47</v>
      </c>
      <c r="C511" t="str" cm="1">
        <f t="array" ref="C511">_xlfn.IFS(
    Dataset[[#This Row],[Age]]&lt;=10, "0-10",
    AND(Dataset[[#This Row],[Age]]&gt;10, Dataset[[#This Row],[Age]]&lt;=18), "11-18",
    AND(Dataset[[#This Row],[Age]]&gt;18, Dataset[[#This Row],[Age]]&lt;=30), "19-30",
    AND(Dataset[[#This Row],[Age]]&gt;30, Dataset[[#This Row],[Age]]&lt;=60), "31-60",
    Dataset[[#This Row],[Age]]&gt;60, "above 60"
)</f>
        <v>31-60</v>
      </c>
      <c r="D511">
        <v>1</v>
      </c>
      <c r="E511">
        <v>1</v>
      </c>
      <c r="F511">
        <v>0</v>
      </c>
      <c r="G51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11" s="1" t="s">
        <v>40</v>
      </c>
      <c r="I511" s="1" t="s">
        <v>15</v>
      </c>
      <c r="J511" s="1" t="s">
        <v>12</v>
      </c>
      <c r="K511">
        <v>1</v>
      </c>
    </row>
    <row r="512" spans="1:11" x14ac:dyDescent="0.3">
      <c r="A512" s="1" t="s">
        <v>13</v>
      </c>
      <c r="B512">
        <v>51</v>
      </c>
      <c r="C512" t="str" cm="1">
        <f t="array" ref="C512">_xlfn.IFS(
    Dataset[[#This Row],[Age]]&lt;=10, "0-10",
    AND(Dataset[[#This Row],[Age]]&gt;10, Dataset[[#This Row],[Age]]&lt;=18), "11-18",
    AND(Dataset[[#This Row],[Age]]&gt;18, Dataset[[#This Row],[Age]]&lt;=30), "19-30",
    AND(Dataset[[#This Row],[Age]]&gt;30, Dataset[[#This Row],[Age]]&lt;=60), "31-60",
    Dataset[[#This Row],[Age]]&gt;60, "above 60"
)</f>
        <v>31-60</v>
      </c>
      <c r="D512">
        <v>0</v>
      </c>
      <c r="E512">
        <v>0</v>
      </c>
      <c r="F512">
        <v>0</v>
      </c>
      <c r="G51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12" s="1" t="s">
        <v>36</v>
      </c>
      <c r="I512" s="1" t="s">
        <v>11</v>
      </c>
      <c r="J512" s="1" t="s">
        <v>17</v>
      </c>
      <c r="K512">
        <v>0</v>
      </c>
    </row>
    <row r="513" spans="1:11" x14ac:dyDescent="0.3">
      <c r="A513" s="1" t="s">
        <v>13</v>
      </c>
      <c r="B513">
        <v>33</v>
      </c>
      <c r="C513" t="str" cm="1">
        <f t="array" ref="C513">_xlfn.IFS(
    Dataset[[#This Row],[Age]]&lt;=10, "0-10",
    AND(Dataset[[#This Row],[Age]]&gt;10, Dataset[[#This Row],[Age]]&lt;=18), "11-18",
    AND(Dataset[[#This Row],[Age]]&gt;18, Dataset[[#This Row],[Age]]&lt;=30), "19-30",
    AND(Dataset[[#This Row],[Age]]&gt;30, Dataset[[#This Row],[Age]]&lt;=60), "31-60",
    Dataset[[#This Row],[Age]]&gt;60, "above 60"
)</f>
        <v>31-60</v>
      </c>
      <c r="D513">
        <v>1</v>
      </c>
      <c r="E513">
        <v>1</v>
      </c>
      <c r="F513">
        <v>1</v>
      </c>
      <c r="G51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13" s="1" t="s">
        <v>50</v>
      </c>
      <c r="I513" s="1" t="s">
        <v>15</v>
      </c>
      <c r="J513" s="1" t="s">
        <v>12</v>
      </c>
      <c r="K513">
        <v>1</v>
      </c>
    </row>
    <row r="514" spans="1:11" x14ac:dyDescent="0.3">
      <c r="A514" s="1" t="s">
        <v>13</v>
      </c>
      <c r="B514">
        <v>51</v>
      </c>
      <c r="C514" t="str" cm="1">
        <f t="array" ref="C514">_xlfn.IFS(
    Dataset[[#This Row],[Age]]&lt;=10, "0-10",
    AND(Dataset[[#This Row],[Age]]&gt;10, Dataset[[#This Row],[Age]]&lt;=18), "11-18",
    AND(Dataset[[#This Row],[Age]]&gt;18, Dataset[[#This Row],[Age]]&lt;=30), "19-30",
    AND(Dataset[[#This Row],[Age]]&gt;30, Dataset[[#This Row],[Age]]&lt;=60), "31-60",
    Dataset[[#This Row],[Age]]&gt;60, "above 60"
)</f>
        <v>31-60</v>
      </c>
      <c r="D514">
        <v>1</v>
      </c>
      <c r="E514">
        <v>1</v>
      </c>
      <c r="F514">
        <v>1</v>
      </c>
      <c r="G51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14" s="1" t="s">
        <v>20</v>
      </c>
      <c r="I514" s="1" t="s">
        <v>11</v>
      </c>
      <c r="J514" s="1" t="s">
        <v>17</v>
      </c>
      <c r="K514">
        <v>1</v>
      </c>
    </row>
    <row r="515" spans="1:11" x14ac:dyDescent="0.3">
      <c r="A515" s="1" t="s">
        <v>9</v>
      </c>
      <c r="B515">
        <v>60</v>
      </c>
      <c r="C515" t="str" cm="1">
        <f t="array" ref="C515">_xlfn.IFS(
    Dataset[[#This Row],[Age]]&lt;=10, "0-10",
    AND(Dataset[[#This Row],[Age]]&gt;10, Dataset[[#This Row],[Age]]&lt;=18), "11-18",
    AND(Dataset[[#This Row],[Age]]&gt;18, Dataset[[#This Row],[Age]]&lt;=30), "19-30",
    AND(Dataset[[#This Row],[Age]]&gt;30, Dataset[[#This Row],[Age]]&lt;=60), "31-60",
    Dataset[[#This Row],[Age]]&gt;60, "above 60"
)</f>
        <v>31-60</v>
      </c>
      <c r="D515">
        <v>0</v>
      </c>
      <c r="E515">
        <v>0</v>
      </c>
      <c r="F515">
        <v>1</v>
      </c>
      <c r="G51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15" s="1" t="s">
        <v>35</v>
      </c>
      <c r="I515" s="1" t="s">
        <v>15</v>
      </c>
      <c r="J515" s="1" t="s">
        <v>12</v>
      </c>
      <c r="K515">
        <v>0</v>
      </c>
    </row>
    <row r="516" spans="1:11" x14ac:dyDescent="0.3">
      <c r="A516" s="1" t="s">
        <v>9</v>
      </c>
      <c r="B516">
        <v>23</v>
      </c>
      <c r="C516" t="str" cm="1">
        <f t="array" ref="C516">_xlfn.IFS(
    Dataset[[#This Row],[Age]]&lt;=10, "0-10",
    AND(Dataset[[#This Row],[Age]]&gt;10, Dataset[[#This Row],[Age]]&lt;=18), "11-18",
    AND(Dataset[[#This Row],[Age]]&gt;18, Dataset[[#This Row],[Age]]&lt;=30), "19-30",
    AND(Dataset[[#This Row],[Age]]&gt;30, Dataset[[#This Row],[Age]]&lt;=60), "31-60",
    Dataset[[#This Row],[Age]]&gt;60, "above 60"
)</f>
        <v>19-30</v>
      </c>
      <c r="D516">
        <v>0</v>
      </c>
      <c r="E516">
        <v>0</v>
      </c>
      <c r="F516">
        <v>1</v>
      </c>
      <c r="G51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16" s="1" t="s">
        <v>49</v>
      </c>
      <c r="I516" s="1" t="s">
        <v>11</v>
      </c>
      <c r="J516" s="1" t="s">
        <v>17</v>
      </c>
      <c r="K516">
        <v>0</v>
      </c>
    </row>
    <row r="517" spans="1:11" x14ac:dyDescent="0.3">
      <c r="A517" s="1" t="s">
        <v>9</v>
      </c>
      <c r="B517">
        <v>8</v>
      </c>
      <c r="C517" t="str" cm="1">
        <f t="array" ref="C517">_xlfn.IFS(
    Dataset[[#This Row],[Age]]&lt;=10, "0-10",
    AND(Dataset[[#This Row],[Age]]&gt;10, Dataset[[#This Row],[Age]]&lt;=18), "11-18",
    AND(Dataset[[#This Row],[Age]]&gt;18, Dataset[[#This Row],[Age]]&lt;=30), "19-30",
    AND(Dataset[[#This Row],[Age]]&gt;30, Dataset[[#This Row],[Age]]&lt;=60), "31-60",
    Dataset[[#This Row],[Age]]&gt;60, "above 60"
)</f>
        <v>0-10</v>
      </c>
      <c r="D517">
        <v>0</v>
      </c>
      <c r="E517">
        <v>0</v>
      </c>
      <c r="F517">
        <v>0</v>
      </c>
      <c r="G51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17" s="1" t="s">
        <v>20</v>
      </c>
      <c r="I517" s="1" t="s">
        <v>15</v>
      </c>
      <c r="J517" s="1" t="s">
        <v>17</v>
      </c>
      <c r="K517">
        <v>0</v>
      </c>
    </row>
    <row r="518" spans="1:11" x14ac:dyDescent="0.3">
      <c r="A518" s="1" t="s">
        <v>13</v>
      </c>
      <c r="B518">
        <v>52</v>
      </c>
      <c r="C518" t="str" cm="1">
        <f t="array" ref="C518">_xlfn.IFS(
    Dataset[[#This Row],[Age]]&lt;=10, "0-10",
    AND(Dataset[[#This Row],[Age]]&gt;10, Dataset[[#This Row],[Age]]&lt;=18), "11-18",
    AND(Dataset[[#This Row],[Age]]&gt;18, Dataset[[#This Row],[Age]]&lt;=30), "19-30",
    AND(Dataset[[#This Row],[Age]]&gt;30, Dataset[[#This Row],[Age]]&lt;=60), "31-60",
    Dataset[[#This Row],[Age]]&gt;60, "above 60"
)</f>
        <v>31-60</v>
      </c>
      <c r="D518">
        <v>0</v>
      </c>
      <c r="E518">
        <v>0</v>
      </c>
      <c r="F518">
        <v>1</v>
      </c>
      <c r="G51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18" s="1" t="s">
        <v>10</v>
      </c>
      <c r="I518" s="1" t="s">
        <v>11</v>
      </c>
      <c r="J518" s="1" t="s">
        <v>12</v>
      </c>
      <c r="K518">
        <v>0</v>
      </c>
    </row>
    <row r="519" spans="1:11" x14ac:dyDescent="0.3">
      <c r="A519" s="1" t="s">
        <v>9</v>
      </c>
      <c r="B519">
        <v>10</v>
      </c>
      <c r="C519" t="str" cm="1">
        <f t="array" ref="C519">_xlfn.IFS(
    Dataset[[#This Row],[Age]]&lt;=10, "0-10",
    AND(Dataset[[#This Row],[Age]]&gt;10, Dataset[[#This Row],[Age]]&lt;=18), "11-18",
    AND(Dataset[[#This Row],[Age]]&gt;18, Dataset[[#This Row],[Age]]&lt;=30), "19-30",
    AND(Dataset[[#This Row],[Age]]&gt;30, Dataset[[#This Row],[Age]]&lt;=60), "31-60",
    Dataset[[#This Row],[Age]]&gt;60, "above 60"
)</f>
        <v>0-10</v>
      </c>
      <c r="D519">
        <v>1</v>
      </c>
      <c r="E519">
        <v>1</v>
      </c>
      <c r="F519">
        <v>1</v>
      </c>
      <c r="G51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19" s="1" t="s">
        <v>23</v>
      </c>
      <c r="I519" s="1" t="s">
        <v>15</v>
      </c>
      <c r="J519" s="1" t="s">
        <v>22</v>
      </c>
      <c r="K519">
        <v>1</v>
      </c>
    </row>
    <row r="520" spans="1:11" x14ac:dyDescent="0.3">
      <c r="A520" s="1" t="s">
        <v>13</v>
      </c>
      <c r="B520">
        <v>22</v>
      </c>
      <c r="C520" t="str" cm="1">
        <f t="array" ref="C520">_xlfn.IFS(
    Dataset[[#This Row],[Age]]&lt;=10, "0-10",
    AND(Dataset[[#This Row],[Age]]&gt;10, Dataset[[#This Row],[Age]]&lt;=18), "11-18",
    AND(Dataset[[#This Row],[Age]]&gt;18, Dataset[[#This Row],[Age]]&lt;=30), "19-30",
    AND(Dataset[[#This Row],[Age]]&gt;30, Dataset[[#This Row],[Age]]&lt;=60), "31-60",
    Dataset[[#This Row],[Age]]&gt;60, "above 60"
)</f>
        <v>19-30</v>
      </c>
      <c r="D520">
        <v>1</v>
      </c>
      <c r="E520">
        <v>1</v>
      </c>
      <c r="F520">
        <v>0</v>
      </c>
      <c r="G52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20" s="1" t="s">
        <v>23</v>
      </c>
      <c r="I520" s="1" t="s">
        <v>11</v>
      </c>
      <c r="J520" s="1" t="s">
        <v>12</v>
      </c>
      <c r="K520">
        <v>1</v>
      </c>
    </row>
    <row r="521" spans="1:11" x14ac:dyDescent="0.3">
      <c r="A521" s="1" t="s">
        <v>13</v>
      </c>
      <c r="B521">
        <v>23</v>
      </c>
      <c r="C521" t="str" cm="1">
        <f t="array" ref="C521">_xlfn.IFS(
    Dataset[[#This Row],[Age]]&lt;=10, "0-10",
    AND(Dataset[[#This Row],[Age]]&gt;10, Dataset[[#This Row],[Age]]&lt;=18), "11-18",
    AND(Dataset[[#This Row],[Age]]&gt;18, Dataset[[#This Row],[Age]]&lt;=30), "19-30",
    AND(Dataset[[#This Row],[Age]]&gt;30, Dataset[[#This Row],[Age]]&lt;=60), "31-60",
    Dataset[[#This Row],[Age]]&gt;60, "above 60"
)</f>
        <v>19-30</v>
      </c>
      <c r="D521">
        <v>1</v>
      </c>
      <c r="E521">
        <v>1</v>
      </c>
      <c r="F521">
        <v>0</v>
      </c>
      <c r="G52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21" s="1" t="s">
        <v>33</v>
      </c>
      <c r="I521" s="1" t="s">
        <v>15</v>
      </c>
      <c r="J521" s="1" t="s">
        <v>22</v>
      </c>
      <c r="K521">
        <v>1</v>
      </c>
    </row>
    <row r="522" spans="1:11" x14ac:dyDescent="0.3">
      <c r="A522" s="1" t="s">
        <v>9</v>
      </c>
      <c r="B522">
        <v>13</v>
      </c>
      <c r="C522" t="str" cm="1">
        <f t="array" ref="C522">_xlfn.IFS(
    Dataset[[#This Row],[Age]]&lt;=10, "0-10",
    AND(Dataset[[#This Row],[Age]]&gt;10, Dataset[[#This Row],[Age]]&lt;=18), "11-18",
    AND(Dataset[[#This Row],[Age]]&gt;18, Dataset[[#This Row],[Age]]&lt;=30), "19-30",
    AND(Dataset[[#This Row],[Age]]&gt;30, Dataset[[#This Row],[Age]]&lt;=60), "31-60",
    Dataset[[#This Row],[Age]]&gt;60, "above 60"
)</f>
        <v>11-18</v>
      </c>
      <c r="D522">
        <v>0</v>
      </c>
      <c r="E522">
        <v>0</v>
      </c>
      <c r="F522">
        <v>1</v>
      </c>
      <c r="G52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22" s="1" t="s">
        <v>51</v>
      </c>
      <c r="I522" s="1" t="s">
        <v>11</v>
      </c>
      <c r="J522" s="1" t="s">
        <v>22</v>
      </c>
      <c r="K522">
        <v>0</v>
      </c>
    </row>
    <row r="523" spans="1:11" x14ac:dyDescent="0.3">
      <c r="A523" s="1" t="s">
        <v>9</v>
      </c>
      <c r="B523">
        <v>22</v>
      </c>
      <c r="C523" t="str" cm="1">
        <f t="array" ref="C523">_xlfn.IFS(
    Dataset[[#This Row],[Age]]&lt;=10, "0-10",
    AND(Dataset[[#This Row],[Age]]&gt;10, Dataset[[#This Row],[Age]]&lt;=18), "11-18",
    AND(Dataset[[#This Row],[Age]]&gt;18, Dataset[[#This Row],[Age]]&lt;=30), "19-30",
    AND(Dataset[[#This Row],[Age]]&gt;30, Dataset[[#This Row],[Age]]&lt;=60), "31-60",
    Dataset[[#This Row],[Age]]&gt;60, "above 60"
)</f>
        <v>19-30</v>
      </c>
      <c r="D523">
        <v>0</v>
      </c>
      <c r="E523">
        <v>0</v>
      </c>
      <c r="F523">
        <v>0</v>
      </c>
      <c r="G52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23" s="1" t="s">
        <v>24</v>
      </c>
      <c r="I523" s="1" t="s">
        <v>15</v>
      </c>
      <c r="J523" s="1" t="s">
        <v>12</v>
      </c>
      <c r="K523">
        <v>0</v>
      </c>
    </row>
    <row r="524" spans="1:11" x14ac:dyDescent="0.3">
      <c r="A524" s="1" t="s">
        <v>13</v>
      </c>
      <c r="B524">
        <v>64</v>
      </c>
      <c r="C524" t="str" cm="1">
        <f t="array" ref="C524">_xlfn.IFS(
    Dataset[[#This Row],[Age]]&lt;=10, "0-10",
    AND(Dataset[[#This Row],[Age]]&gt;10, Dataset[[#This Row],[Age]]&lt;=18), "11-18",
    AND(Dataset[[#This Row],[Age]]&gt;18, Dataset[[#This Row],[Age]]&lt;=30), "19-30",
    AND(Dataset[[#This Row],[Age]]&gt;30, Dataset[[#This Row],[Age]]&lt;=60), "31-60",
    Dataset[[#This Row],[Age]]&gt;60, "above 60"
)</f>
        <v>above 60</v>
      </c>
      <c r="D524">
        <v>1</v>
      </c>
      <c r="E524">
        <v>1</v>
      </c>
      <c r="F524">
        <v>1</v>
      </c>
      <c r="G52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24" s="1" t="s">
        <v>31</v>
      </c>
      <c r="I524" s="1" t="s">
        <v>11</v>
      </c>
      <c r="J524" s="1" t="s">
        <v>12</v>
      </c>
      <c r="K524">
        <v>1</v>
      </c>
    </row>
    <row r="525" spans="1:11" x14ac:dyDescent="0.3">
      <c r="A525" s="1" t="s">
        <v>9</v>
      </c>
      <c r="B525">
        <v>9</v>
      </c>
      <c r="C525" t="str" cm="1">
        <f t="array" ref="C525">_xlfn.IFS(
    Dataset[[#This Row],[Age]]&lt;=10, "0-10",
    AND(Dataset[[#This Row],[Age]]&gt;10, Dataset[[#This Row],[Age]]&lt;=18), "11-18",
    AND(Dataset[[#This Row],[Age]]&gt;18, Dataset[[#This Row],[Age]]&lt;=30), "19-30",
    AND(Dataset[[#This Row],[Age]]&gt;30, Dataset[[#This Row],[Age]]&lt;=60), "31-60",
    Dataset[[#This Row],[Age]]&gt;60, "above 60"
)</f>
        <v>0-10</v>
      </c>
      <c r="D525">
        <v>0</v>
      </c>
      <c r="E525">
        <v>0</v>
      </c>
      <c r="F525">
        <v>0</v>
      </c>
      <c r="G52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25" s="1" t="s">
        <v>41</v>
      </c>
      <c r="I525" s="1" t="s">
        <v>15</v>
      </c>
      <c r="J525" s="1" t="s">
        <v>22</v>
      </c>
      <c r="K525">
        <v>0</v>
      </c>
    </row>
    <row r="526" spans="1:11" x14ac:dyDescent="0.3">
      <c r="A526" s="1" t="s">
        <v>9</v>
      </c>
      <c r="B526">
        <v>26</v>
      </c>
      <c r="C526" t="str" cm="1">
        <f t="array" ref="C526">_xlfn.IFS(
    Dataset[[#This Row],[Age]]&lt;=10, "0-10",
    AND(Dataset[[#This Row],[Age]]&gt;10, Dataset[[#This Row],[Age]]&lt;=18), "11-18",
    AND(Dataset[[#This Row],[Age]]&gt;18, Dataset[[#This Row],[Age]]&lt;=30), "19-30",
    AND(Dataset[[#This Row],[Age]]&gt;30, Dataset[[#This Row],[Age]]&lt;=60), "31-60",
    Dataset[[#This Row],[Age]]&gt;60, "above 60"
)</f>
        <v>19-30</v>
      </c>
      <c r="D526">
        <v>0</v>
      </c>
      <c r="E526">
        <v>0</v>
      </c>
      <c r="F526">
        <v>0</v>
      </c>
      <c r="G52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26" s="1" t="s">
        <v>41</v>
      </c>
      <c r="I526" s="1" t="s">
        <v>11</v>
      </c>
      <c r="J526" s="1" t="s">
        <v>22</v>
      </c>
      <c r="K526">
        <v>0</v>
      </c>
    </row>
    <row r="527" spans="1:11" x14ac:dyDescent="0.3">
      <c r="A527" s="1" t="s">
        <v>13</v>
      </c>
      <c r="B527">
        <v>32</v>
      </c>
      <c r="C527" t="str" cm="1">
        <f t="array" ref="C527">_xlfn.IFS(
    Dataset[[#This Row],[Age]]&lt;=10, "0-10",
    AND(Dataset[[#This Row],[Age]]&gt;10, Dataset[[#This Row],[Age]]&lt;=18), "11-18",
    AND(Dataset[[#This Row],[Age]]&gt;18, Dataset[[#This Row],[Age]]&lt;=30), "19-30",
    AND(Dataset[[#This Row],[Age]]&gt;30, Dataset[[#This Row],[Age]]&lt;=60), "31-60",
    Dataset[[#This Row],[Age]]&gt;60, "above 60"
)</f>
        <v>31-60</v>
      </c>
      <c r="D527">
        <v>0</v>
      </c>
      <c r="E527">
        <v>0</v>
      </c>
      <c r="F527">
        <v>0</v>
      </c>
      <c r="G52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27" s="1" t="s">
        <v>31</v>
      </c>
      <c r="I527" s="1" t="s">
        <v>15</v>
      </c>
      <c r="J527" s="1" t="s">
        <v>22</v>
      </c>
      <c r="K527">
        <v>0</v>
      </c>
    </row>
    <row r="528" spans="1:11" x14ac:dyDescent="0.3">
      <c r="A528" s="1" t="s">
        <v>9</v>
      </c>
      <c r="B528">
        <v>48</v>
      </c>
      <c r="C528" t="str" cm="1">
        <f t="array" ref="C528">_xlfn.IFS(
    Dataset[[#This Row],[Age]]&lt;=10, "0-10",
    AND(Dataset[[#This Row],[Age]]&gt;10, Dataset[[#This Row],[Age]]&lt;=18), "11-18",
    AND(Dataset[[#This Row],[Age]]&gt;18, Dataset[[#This Row],[Age]]&lt;=30), "19-30",
    AND(Dataset[[#This Row],[Age]]&gt;30, Dataset[[#This Row],[Age]]&lt;=60), "31-60",
    Dataset[[#This Row],[Age]]&gt;60, "above 60"
)</f>
        <v>31-60</v>
      </c>
      <c r="D528">
        <v>0</v>
      </c>
      <c r="E528">
        <v>0</v>
      </c>
      <c r="F528">
        <v>1</v>
      </c>
      <c r="G52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28" s="1" t="s">
        <v>46</v>
      </c>
      <c r="I528" s="1" t="s">
        <v>11</v>
      </c>
      <c r="J528" s="1" t="s">
        <v>12</v>
      </c>
      <c r="K528">
        <v>0</v>
      </c>
    </row>
    <row r="529" spans="1:11" x14ac:dyDescent="0.3">
      <c r="A529" s="1" t="s">
        <v>13</v>
      </c>
      <c r="B529">
        <v>48</v>
      </c>
      <c r="C529" t="str" cm="1">
        <f t="array" ref="C529">_xlfn.IFS(
    Dataset[[#This Row],[Age]]&lt;=10, "0-10",
    AND(Dataset[[#This Row],[Age]]&gt;10, Dataset[[#This Row],[Age]]&lt;=18), "11-18",
    AND(Dataset[[#This Row],[Age]]&gt;18, Dataset[[#This Row],[Age]]&lt;=30), "19-30",
    AND(Dataset[[#This Row],[Age]]&gt;30, Dataset[[#This Row],[Age]]&lt;=60), "31-60",
    Dataset[[#This Row],[Age]]&gt;60, "above 60"
)</f>
        <v>31-60</v>
      </c>
      <c r="D529">
        <v>0</v>
      </c>
      <c r="E529">
        <v>1</v>
      </c>
      <c r="F529">
        <v>0</v>
      </c>
      <c r="G52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Low Risk</v>
      </c>
      <c r="H529" s="1" t="s">
        <v>26</v>
      </c>
      <c r="I529" s="1" t="s">
        <v>15</v>
      </c>
      <c r="J529" s="1" t="s">
        <v>17</v>
      </c>
      <c r="K529">
        <v>1</v>
      </c>
    </row>
    <row r="530" spans="1:11" x14ac:dyDescent="0.3">
      <c r="A530" s="1" t="s">
        <v>9</v>
      </c>
      <c r="B530">
        <v>33</v>
      </c>
      <c r="C530" t="str" cm="1">
        <f t="array" ref="C530">_xlfn.IFS(
    Dataset[[#This Row],[Age]]&lt;=10, "0-10",
    AND(Dataset[[#This Row],[Age]]&gt;10, Dataset[[#This Row],[Age]]&lt;=18), "11-18",
    AND(Dataset[[#This Row],[Age]]&gt;18, Dataset[[#This Row],[Age]]&lt;=30), "19-30",
    AND(Dataset[[#This Row],[Age]]&gt;30, Dataset[[#This Row],[Age]]&lt;=60), "31-60",
    Dataset[[#This Row],[Age]]&gt;60, "above 60"
)</f>
        <v>31-60</v>
      </c>
      <c r="D530">
        <v>0</v>
      </c>
      <c r="E530">
        <v>0</v>
      </c>
      <c r="F530">
        <v>0</v>
      </c>
      <c r="G53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30" s="1" t="s">
        <v>21</v>
      </c>
      <c r="I530" s="1" t="s">
        <v>11</v>
      </c>
      <c r="J530" s="1" t="s">
        <v>17</v>
      </c>
      <c r="K530">
        <v>0</v>
      </c>
    </row>
    <row r="531" spans="1:11" x14ac:dyDescent="0.3">
      <c r="A531" s="1" t="s">
        <v>9</v>
      </c>
      <c r="B531">
        <v>36</v>
      </c>
      <c r="C531" t="str" cm="1">
        <f t="array" ref="C531">_xlfn.IFS(
    Dataset[[#This Row],[Age]]&lt;=10, "0-10",
    AND(Dataset[[#This Row],[Age]]&gt;10, Dataset[[#This Row],[Age]]&lt;=18), "11-18",
    AND(Dataset[[#This Row],[Age]]&gt;18, Dataset[[#This Row],[Age]]&lt;=30), "19-30",
    AND(Dataset[[#This Row],[Age]]&gt;30, Dataset[[#This Row],[Age]]&lt;=60), "31-60",
    Dataset[[#This Row],[Age]]&gt;60, "above 60"
)</f>
        <v>31-60</v>
      </c>
      <c r="D531">
        <v>0</v>
      </c>
      <c r="E531">
        <v>0</v>
      </c>
      <c r="F531">
        <v>0</v>
      </c>
      <c r="G53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31" s="1" t="s">
        <v>43</v>
      </c>
      <c r="I531" s="1" t="s">
        <v>15</v>
      </c>
      <c r="J531" s="1" t="s">
        <v>17</v>
      </c>
      <c r="K531">
        <v>0</v>
      </c>
    </row>
    <row r="532" spans="1:11" x14ac:dyDescent="0.3">
      <c r="A532" s="1" t="s">
        <v>9</v>
      </c>
      <c r="B532">
        <v>32</v>
      </c>
      <c r="C532" t="str" cm="1">
        <f t="array" ref="C532">_xlfn.IFS(
    Dataset[[#This Row],[Age]]&lt;=10, "0-10",
    AND(Dataset[[#This Row],[Age]]&gt;10, Dataset[[#This Row],[Age]]&lt;=18), "11-18",
    AND(Dataset[[#This Row],[Age]]&gt;18, Dataset[[#This Row],[Age]]&lt;=30), "19-30",
    AND(Dataset[[#This Row],[Age]]&gt;30, Dataset[[#This Row],[Age]]&lt;=60), "31-60",
    Dataset[[#This Row],[Age]]&gt;60, "above 60"
)</f>
        <v>31-60</v>
      </c>
      <c r="D532">
        <v>0</v>
      </c>
      <c r="E532">
        <v>0</v>
      </c>
      <c r="F532">
        <v>0</v>
      </c>
      <c r="G53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32" s="1" t="s">
        <v>45</v>
      </c>
      <c r="I532" s="1" t="s">
        <v>11</v>
      </c>
      <c r="J532" s="1" t="s">
        <v>17</v>
      </c>
      <c r="K532">
        <v>0</v>
      </c>
    </row>
    <row r="533" spans="1:11" x14ac:dyDescent="0.3">
      <c r="A533" s="1" t="s">
        <v>13</v>
      </c>
      <c r="B533">
        <v>53</v>
      </c>
      <c r="C533" t="str" cm="1">
        <f t="array" ref="C533">_xlfn.IFS(
    Dataset[[#This Row],[Age]]&lt;=10, "0-10",
    AND(Dataset[[#This Row],[Age]]&gt;10, Dataset[[#This Row],[Age]]&lt;=18), "11-18",
    AND(Dataset[[#This Row],[Age]]&gt;18, Dataset[[#This Row],[Age]]&lt;=30), "19-30",
    AND(Dataset[[#This Row],[Age]]&gt;30, Dataset[[#This Row],[Age]]&lt;=60), "31-60",
    Dataset[[#This Row],[Age]]&gt;60, "above 60"
)</f>
        <v>31-60</v>
      </c>
      <c r="D533">
        <v>0</v>
      </c>
      <c r="E533">
        <v>0</v>
      </c>
      <c r="F533">
        <v>0</v>
      </c>
      <c r="G53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33" s="1" t="s">
        <v>18</v>
      </c>
      <c r="I533" s="1" t="s">
        <v>15</v>
      </c>
      <c r="J533" s="1" t="s">
        <v>12</v>
      </c>
      <c r="K533">
        <v>0</v>
      </c>
    </row>
    <row r="534" spans="1:11" x14ac:dyDescent="0.3">
      <c r="A534" s="1" t="s">
        <v>9</v>
      </c>
      <c r="B534">
        <v>9</v>
      </c>
      <c r="C534" t="str" cm="1">
        <f t="array" ref="C534">_xlfn.IFS(
    Dataset[[#This Row],[Age]]&lt;=10, "0-10",
    AND(Dataset[[#This Row],[Age]]&gt;10, Dataset[[#This Row],[Age]]&lt;=18), "11-18",
    AND(Dataset[[#This Row],[Age]]&gt;18, Dataset[[#This Row],[Age]]&lt;=30), "19-30",
    AND(Dataset[[#This Row],[Age]]&gt;30, Dataset[[#This Row],[Age]]&lt;=60), "31-60",
    Dataset[[#This Row],[Age]]&gt;60, "above 60"
)</f>
        <v>0-10</v>
      </c>
      <c r="D534">
        <v>1</v>
      </c>
      <c r="E534">
        <v>1</v>
      </c>
      <c r="F534">
        <v>0</v>
      </c>
      <c r="G53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34" s="1" t="s">
        <v>21</v>
      </c>
      <c r="I534" s="1" t="s">
        <v>11</v>
      </c>
      <c r="J534" s="1" t="s">
        <v>17</v>
      </c>
      <c r="K534">
        <v>1</v>
      </c>
    </row>
    <row r="535" spans="1:11" x14ac:dyDescent="0.3">
      <c r="A535" s="1" t="s">
        <v>13</v>
      </c>
      <c r="B535">
        <v>9</v>
      </c>
      <c r="C535" t="str" cm="1">
        <f t="array" ref="C535">_xlfn.IFS(
    Dataset[[#This Row],[Age]]&lt;=10, "0-10",
    AND(Dataset[[#This Row],[Age]]&gt;10, Dataset[[#This Row],[Age]]&lt;=18), "11-18",
    AND(Dataset[[#This Row],[Age]]&gt;18, Dataset[[#This Row],[Age]]&lt;=30), "19-30",
    AND(Dataset[[#This Row],[Age]]&gt;30, Dataset[[#This Row],[Age]]&lt;=60), "31-60",
    Dataset[[#This Row],[Age]]&gt;60, "above 60"
)</f>
        <v>0-10</v>
      </c>
      <c r="D535">
        <v>1</v>
      </c>
      <c r="E535">
        <v>1</v>
      </c>
      <c r="F535">
        <v>0</v>
      </c>
      <c r="G53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35" s="1" t="s">
        <v>29</v>
      </c>
      <c r="I535" s="1" t="s">
        <v>15</v>
      </c>
      <c r="J535" s="1" t="s">
        <v>12</v>
      </c>
      <c r="K535">
        <v>1</v>
      </c>
    </row>
    <row r="536" spans="1:11" x14ac:dyDescent="0.3">
      <c r="A536" s="1" t="s">
        <v>13</v>
      </c>
      <c r="B536">
        <v>40</v>
      </c>
      <c r="C536" t="str" cm="1">
        <f t="array" ref="C536">_xlfn.IFS(
    Dataset[[#This Row],[Age]]&lt;=10, "0-10",
    AND(Dataset[[#This Row],[Age]]&gt;10, Dataset[[#This Row],[Age]]&lt;=18), "11-18",
    AND(Dataset[[#This Row],[Age]]&gt;18, Dataset[[#This Row],[Age]]&lt;=30), "19-30",
    AND(Dataset[[#This Row],[Age]]&gt;30, Dataset[[#This Row],[Age]]&lt;=60), "31-60",
    Dataset[[#This Row],[Age]]&gt;60, "above 60"
)</f>
        <v>31-60</v>
      </c>
      <c r="D536">
        <v>0</v>
      </c>
      <c r="E536">
        <v>0</v>
      </c>
      <c r="F536">
        <v>1</v>
      </c>
      <c r="G53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36" s="1" t="s">
        <v>23</v>
      </c>
      <c r="I536" s="1" t="s">
        <v>11</v>
      </c>
      <c r="J536" s="1" t="s">
        <v>12</v>
      </c>
      <c r="K536">
        <v>0</v>
      </c>
    </row>
    <row r="537" spans="1:11" x14ac:dyDescent="0.3">
      <c r="A537" s="1" t="s">
        <v>9</v>
      </c>
      <c r="B537">
        <v>55</v>
      </c>
      <c r="C537" t="str" cm="1">
        <f t="array" ref="C537">_xlfn.IFS(
    Dataset[[#This Row],[Age]]&lt;=10, "0-10",
    AND(Dataset[[#This Row],[Age]]&gt;10, Dataset[[#This Row],[Age]]&lt;=18), "11-18",
    AND(Dataset[[#This Row],[Age]]&gt;18, Dataset[[#This Row],[Age]]&lt;=30), "19-30",
    AND(Dataset[[#This Row],[Age]]&gt;30, Dataset[[#This Row],[Age]]&lt;=60), "31-60",
    Dataset[[#This Row],[Age]]&gt;60, "above 60"
)</f>
        <v>31-60</v>
      </c>
      <c r="D537">
        <v>1</v>
      </c>
      <c r="E537">
        <v>1</v>
      </c>
      <c r="F537">
        <v>1</v>
      </c>
      <c r="G53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37" s="1" t="s">
        <v>36</v>
      </c>
      <c r="I537" s="1" t="s">
        <v>15</v>
      </c>
      <c r="J537" s="1" t="s">
        <v>22</v>
      </c>
      <c r="K537">
        <v>1</v>
      </c>
    </row>
    <row r="538" spans="1:11" x14ac:dyDescent="0.3">
      <c r="A538" s="1" t="s">
        <v>13</v>
      </c>
      <c r="B538">
        <v>34</v>
      </c>
      <c r="C538" t="str" cm="1">
        <f t="array" ref="C538">_xlfn.IFS(
    Dataset[[#This Row],[Age]]&lt;=10, "0-10",
    AND(Dataset[[#This Row],[Age]]&gt;10, Dataset[[#This Row],[Age]]&lt;=18), "11-18",
    AND(Dataset[[#This Row],[Age]]&gt;18, Dataset[[#This Row],[Age]]&lt;=30), "19-30",
    AND(Dataset[[#This Row],[Age]]&gt;30, Dataset[[#This Row],[Age]]&lt;=60), "31-60",
    Dataset[[#This Row],[Age]]&gt;60, "above 60"
)</f>
        <v>31-60</v>
      </c>
      <c r="D538">
        <v>0</v>
      </c>
      <c r="E538">
        <v>0</v>
      </c>
      <c r="F538">
        <v>1</v>
      </c>
      <c r="G53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38" s="1" t="s">
        <v>30</v>
      </c>
      <c r="I538" s="1" t="s">
        <v>11</v>
      </c>
      <c r="J538" s="1" t="s">
        <v>22</v>
      </c>
      <c r="K538">
        <v>0</v>
      </c>
    </row>
    <row r="539" spans="1:11" x14ac:dyDescent="0.3">
      <c r="A539" s="1" t="s">
        <v>9</v>
      </c>
      <c r="B539">
        <v>19</v>
      </c>
      <c r="C539" t="str" cm="1">
        <f t="array" ref="C539">_xlfn.IFS(
    Dataset[[#This Row],[Age]]&lt;=10, "0-10",
    AND(Dataset[[#This Row],[Age]]&gt;10, Dataset[[#This Row],[Age]]&lt;=18), "11-18",
    AND(Dataset[[#This Row],[Age]]&gt;18, Dataset[[#This Row],[Age]]&lt;=30), "19-30",
    AND(Dataset[[#This Row],[Age]]&gt;30, Dataset[[#This Row],[Age]]&lt;=60), "31-60",
    Dataset[[#This Row],[Age]]&gt;60, "above 60"
)</f>
        <v>19-30</v>
      </c>
      <c r="D539">
        <v>1</v>
      </c>
      <c r="E539">
        <v>1</v>
      </c>
      <c r="F539">
        <v>1</v>
      </c>
      <c r="G53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39" s="1" t="s">
        <v>31</v>
      </c>
      <c r="I539" s="1" t="s">
        <v>15</v>
      </c>
      <c r="J539" s="1" t="s">
        <v>12</v>
      </c>
      <c r="K539">
        <v>1</v>
      </c>
    </row>
    <row r="540" spans="1:11" x14ac:dyDescent="0.3">
      <c r="A540" s="1" t="s">
        <v>13</v>
      </c>
      <c r="B540">
        <v>48</v>
      </c>
      <c r="C540" t="str" cm="1">
        <f t="array" ref="C540">_xlfn.IFS(
    Dataset[[#This Row],[Age]]&lt;=10, "0-10",
    AND(Dataset[[#This Row],[Age]]&gt;10, Dataset[[#This Row],[Age]]&lt;=18), "11-18",
    AND(Dataset[[#This Row],[Age]]&gt;18, Dataset[[#This Row],[Age]]&lt;=30), "19-30",
    AND(Dataset[[#This Row],[Age]]&gt;30, Dataset[[#This Row],[Age]]&lt;=60), "31-60",
    Dataset[[#This Row],[Age]]&gt;60, "above 60"
)</f>
        <v>31-60</v>
      </c>
      <c r="D540">
        <v>1</v>
      </c>
      <c r="E540">
        <v>1</v>
      </c>
      <c r="F540">
        <v>1</v>
      </c>
      <c r="G54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40" s="1" t="s">
        <v>44</v>
      </c>
      <c r="I540" s="1" t="s">
        <v>11</v>
      </c>
      <c r="J540" s="1" t="s">
        <v>17</v>
      </c>
      <c r="K540">
        <v>1</v>
      </c>
    </row>
    <row r="541" spans="1:11" x14ac:dyDescent="0.3">
      <c r="A541" s="1" t="s">
        <v>9</v>
      </c>
      <c r="B541">
        <v>30</v>
      </c>
      <c r="C541" t="str" cm="1">
        <f t="array" ref="C541">_xlfn.IFS(
    Dataset[[#This Row],[Age]]&lt;=10, "0-10",
    AND(Dataset[[#This Row],[Age]]&gt;10, Dataset[[#This Row],[Age]]&lt;=18), "11-18",
    AND(Dataset[[#This Row],[Age]]&gt;18, Dataset[[#This Row],[Age]]&lt;=30), "19-30",
    AND(Dataset[[#This Row],[Age]]&gt;30, Dataset[[#This Row],[Age]]&lt;=60), "31-60",
    Dataset[[#This Row],[Age]]&gt;60, "above 60"
)</f>
        <v>19-30</v>
      </c>
      <c r="D541">
        <v>1</v>
      </c>
      <c r="E541">
        <v>1</v>
      </c>
      <c r="F541">
        <v>0</v>
      </c>
      <c r="G54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41" s="1" t="s">
        <v>10</v>
      </c>
      <c r="I541" s="1" t="s">
        <v>15</v>
      </c>
      <c r="J541" s="1" t="s">
        <v>12</v>
      </c>
      <c r="K541">
        <v>1</v>
      </c>
    </row>
    <row r="542" spans="1:11" x14ac:dyDescent="0.3">
      <c r="A542" s="1" t="s">
        <v>9</v>
      </c>
      <c r="B542">
        <v>27</v>
      </c>
      <c r="C542" t="str" cm="1">
        <f t="array" ref="C542">_xlfn.IFS(
    Dataset[[#This Row],[Age]]&lt;=10, "0-10",
    AND(Dataset[[#This Row],[Age]]&gt;10, Dataset[[#This Row],[Age]]&lt;=18), "11-18",
    AND(Dataset[[#This Row],[Age]]&gt;18, Dataset[[#This Row],[Age]]&lt;=30), "19-30",
    AND(Dataset[[#This Row],[Age]]&gt;30, Dataset[[#This Row],[Age]]&lt;=60), "31-60",
    Dataset[[#This Row],[Age]]&gt;60, "above 60"
)</f>
        <v>19-30</v>
      </c>
      <c r="D542">
        <v>0</v>
      </c>
      <c r="E542">
        <v>0</v>
      </c>
      <c r="F542">
        <v>0</v>
      </c>
      <c r="G54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42" s="1" t="s">
        <v>46</v>
      </c>
      <c r="I542" s="1" t="s">
        <v>11</v>
      </c>
      <c r="J542" s="1" t="s">
        <v>12</v>
      </c>
      <c r="K542">
        <v>0</v>
      </c>
    </row>
    <row r="543" spans="1:11" x14ac:dyDescent="0.3">
      <c r="A543" s="1" t="s">
        <v>13</v>
      </c>
      <c r="B543">
        <v>49</v>
      </c>
      <c r="C543" t="str" cm="1">
        <f t="array" ref="C543">_xlfn.IFS(
    Dataset[[#This Row],[Age]]&lt;=10, "0-10",
    AND(Dataset[[#This Row],[Age]]&gt;10, Dataset[[#This Row],[Age]]&lt;=18), "11-18",
    AND(Dataset[[#This Row],[Age]]&gt;18, Dataset[[#This Row],[Age]]&lt;=30), "19-30",
    AND(Dataset[[#This Row],[Age]]&gt;30, Dataset[[#This Row],[Age]]&lt;=60), "31-60",
    Dataset[[#This Row],[Age]]&gt;60, "above 60"
)</f>
        <v>31-60</v>
      </c>
      <c r="D543">
        <v>0</v>
      </c>
      <c r="E543">
        <v>0</v>
      </c>
      <c r="F543">
        <v>0</v>
      </c>
      <c r="G54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43" s="1" t="s">
        <v>27</v>
      </c>
      <c r="I543" s="1" t="s">
        <v>15</v>
      </c>
      <c r="J543" s="1" t="s">
        <v>17</v>
      </c>
      <c r="K543">
        <v>0</v>
      </c>
    </row>
    <row r="544" spans="1:11" x14ac:dyDescent="0.3">
      <c r="A544" s="1" t="s">
        <v>9</v>
      </c>
      <c r="B544">
        <v>28</v>
      </c>
      <c r="C544" t="str" cm="1">
        <f t="array" ref="C544">_xlfn.IFS(
    Dataset[[#This Row],[Age]]&lt;=10, "0-10",
    AND(Dataset[[#This Row],[Age]]&gt;10, Dataset[[#This Row],[Age]]&lt;=18), "11-18",
    AND(Dataset[[#This Row],[Age]]&gt;18, Dataset[[#This Row],[Age]]&lt;=30), "19-30",
    AND(Dataset[[#This Row],[Age]]&gt;30, Dataset[[#This Row],[Age]]&lt;=60), "31-60",
    Dataset[[#This Row],[Age]]&gt;60, "above 60"
)</f>
        <v>19-30</v>
      </c>
      <c r="D544">
        <v>0</v>
      </c>
      <c r="E544">
        <v>0</v>
      </c>
      <c r="F544">
        <v>1</v>
      </c>
      <c r="G54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44" s="1" t="s">
        <v>33</v>
      </c>
      <c r="I544" s="1" t="s">
        <v>11</v>
      </c>
      <c r="J544" s="1" t="s">
        <v>17</v>
      </c>
      <c r="K544">
        <v>0</v>
      </c>
    </row>
    <row r="545" spans="1:11" x14ac:dyDescent="0.3">
      <c r="A545" s="1" t="s">
        <v>9</v>
      </c>
      <c r="B545">
        <v>29</v>
      </c>
      <c r="C545" t="str" cm="1">
        <f t="array" ref="C545">_xlfn.IFS(
    Dataset[[#This Row],[Age]]&lt;=10, "0-10",
    AND(Dataset[[#This Row],[Age]]&gt;10, Dataset[[#This Row],[Age]]&lt;=18), "11-18",
    AND(Dataset[[#This Row],[Age]]&gt;18, Dataset[[#This Row],[Age]]&lt;=30), "19-30",
    AND(Dataset[[#This Row],[Age]]&gt;30, Dataset[[#This Row],[Age]]&lt;=60), "31-60",
    Dataset[[#This Row],[Age]]&gt;60, "above 60"
)</f>
        <v>19-30</v>
      </c>
      <c r="D545">
        <v>1</v>
      </c>
      <c r="E545">
        <v>1</v>
      </c>
      <c r="F545">
        <v>1</v>
      </c>
      <c r="G54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45" s="1" t="s">
        <v>40</v>
      </c>
      <c r="I545" s="1" t="s">
        <v>15</v>
      </c>
      <c r="J545" s="1" t="s">
        <v>22</v>
      </c>
      <c r="K545">
        <v>1</v>
      </c>
    </row>
    <row r="546" spans="1:11" x14ac:dyDescent="0.3">
      <c r="A546" s="1" t="s">
        <v>13</v>
      </c>
      <c r="B546">
        <v>65</v>
      </c>
      <c r="C546" t="str" cm="1">
        <f t="array" ref="C546">_xlfn.IFS(
    Dataset[[#This Row],[Age]]&lt;=10, "0-10",
    AND(Dataset[[#This Row],[Age]]&gt;10, Dataset[[#This Row],[Age]]&lt;=18), "11-18",
    AND(Dataset[[#This Row],[Age]]&gt;18, Dataset[[#This Row],[Age]]&lt;=30), "19-30",
    AND(Dataset[[#This Row],[Age]]&gt;30, Dataset[[#This Row],[Age]]&lt;=60), "31-60",
    Dataset[[#This Row],[Age]]&gt;60, "above 60"
)</f>
        <v>above 60</v>
      </c>
      <c r="D546">
        <v>1</v>
      </c>
      <c r="E546">
        <v>1</v>
      </c>
      <c r="F546">
        <v>0</v>
      </c>
      <c r="G54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46" s="1" t="s">
        <v>24</v>
      </c>
      <c r="I546" s="1" t="s">
        <v>11</v>
      </c>
      <c r="J546" s="1" t="s">
        <v>22</v>
      </c>
      <c r="K546">
        <v>1</v>
      </c>
    </row>
    <row r="547" spans="1:11" x14ac:dyDescent="0.3">
      <c r="A547" s="1" t="s">
        <v>13</v>
      </c>
      <c r="B547">
        <v>36</v>
      </c>
      <c r="C547" t="str" cm="1">
        <f t="array" ref="C547">_xlfn.IFS(
    Dataset[[#This Row],[Age]]&lt;=10, "0-10",
    AND(Dataset[[#This Row],[Age]]&gt;10, Dataset[[#This Row],[Age]]&lt;=18), "11-18",
    AND(Dataset[[#This Row],[Age]]&gt;18, Dataset[[#This Row],[Age]]&lt;=30), "19-30",
    AND(Dataset[[#This Row],[Age]]&gt;30, Dataset[[#This Row],[Age]]&lt;=60), "31-60",
    Dataset[[#This Row],[Age]]&gt;60, "above 60"
)</f>
        <v>31-60</v>
      </c>
      <c r="D547">
        <v>0</v>
      </c>
      <c r="E547">
        <v>0</v>
      </c>
      <c r="F547">
        <v>1</v>
      </c>
      <c r="G54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47" s="1" t="s">
        <v>43</v>
      </c>
      <c r="I547" s="1" t="s">
        <v>15</v>
      </c>
      <c r="J547" s="1" t="s">
        <v>12</v>
      </c>
      <c r="K547">
        <v>0</v>
      </c>
    </row>
    <row r="548" spans="1:11" x14ac:dyDescent="0.3">
      <c r="A548" s="1" t="s">
        <v>9</v>
      </c>
      <c r="B548">
        <v>55</v>
      </c>
      <c r="C548" t="str" cm="1">
        <f t="array" ref="C548">_xlfn.IFS(
    Dataset[[#This Row],[Age]]&lt;=10, "0-10",
    AND(Dataset[[#This Row],[Age]]&gt;10, Dataset[[#This Row],[Age]]&lt;=18), "11-18",
    AND(Dataset[[#This Row],[Age]]&gt;18, Dataset[[#This Row],[Age]]&lt;=30), "19-30",
    AND(Dataset[[#This Row],[Age]]&gt;30, Dataset[[#This Row],[Age]]&lt;=60), "31-60",
    Dataset[[#This Row],[Age]]&gt;60, "above 60"
)</f>
        <v>31-60</v>
      </c>
      <c r="D548">
        <v>1</v>
      </c>
      <c r="E548">
        <v>1</v>
      </c>
      <c r="F548">
        <v>0</v>
      </c>
      <c r="G54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48" s="1" t="s">
        <v>25</v>
      </c>
      <c r="I548" s="1" t="s">
        <v>11</v>
      </c>
      <c r="J548" s="1" t="s">
        <v>12</v>
      </c>
      <c r="K548">
        <v>1</v>
      </c>
    </row>
    <row r="549" spans="1:11" x14ac:dyDescent="0.3">
      <c r="A549" s="1" t="s">
        <v>13</v>
      </c>
      <c r="B549">
        <v>22</v>
      </c>
      <c r="C549" t="str" cm="1">
        <f t="array" ref="C549">_xlfn.IFS(
    Dataset[[#This Row],[Age]]&lt;=10, "0-10",
    AND(Dataset[[#This Row],[Age]]&gt;10, Dataset[[#This Row],[Age]]&lt;=18), "11-18",
    AND(Dataset[[#This Row],[Age]]&gt;18, Dataset[[#This Row],[Age]]&lt;=30), "19-30",
    AND(Dataset[[#This Row],[Age]]&gt;30, Dataset[[#This Row],[Age]]&lt;=60), "31-60",
    Dataset[[#This Row],[Age]]&gt;60, "above 60"
)</f>
        <v>19-30</v>
      </c>
      <c r="D549">
        <v>0</v>
      </c>
      <c r="E549">
        <v>0</v>
      </c>
      <c r="F549">
        <v>1</v>
      </c>
      <c r="G54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49" s="1" t="s">
        <v>40</v>
      </c>
      <c r="I549" s="1" t="s">
        <v>15</v>
      </c>
      <c r="J549" s="1" t="s">
        <v>12</v>
      </c>
      <c r="K549">
        <v>0</v>
      </c>
    </row>
    <row r="550" spans="1:11" x14ac:dyDescent="0.3">
      <c r="A550" s="1" t="s">
        <v>13</v>
      </c>
      <c r="B550">
        <v>26</v>
      </c>
      <c r="C550" t="str" cm="1">
        <f t="array" ref="C550">_xlfn.IFS(
    Dataset[[#This Row],[Age]]&lt;=10, "0-10",
    AND(Dataset[[#This Row],[Age]]&gt;10, Dataset[[#This Row],[Age]]&lt;=18), "11-18",
    AND(Dataset[[#This Row],[Age]]&gt;18, Dataset[[#This Row],[Age]]&lt;=30), "19-30",
    AND(Dataset[[#This Row],[Age]]&gt;30, Dataset[[#This Row],[Age]]&lt;=60), "31-60",
    Dataset[[#This Row],[Age]]&gt;60, "above 60"
)</f>
        <v>19-30</v>
      </c>
      <c r="D550">
        <v>1</v>
      </c>
      <c r="E550">
        <v>1</v>
      </c>
      <c r="F550">
        <v>0</v>
      </c>
      <c r="G55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50" s="1" t="s">
        <v>21</v>
      </c>
      <c r="I550" s="1" t="s">
        <v>11</v>
      </c>
      <c r="J550" s="1" t="s">
        <v>22</v>
      </c>
      <c r="K550">
        <v>1</v>
      </c>
    </row>
    <row r="551" spans="1:11" x14ac:dyDescent="0.3">
      <c r="A551" s="1" t="s">
        <v>13</v>
      </c>
      <c r="B551">
        <v>31</v>
      </c>
      <c r="C551" t="str" cm="1">
        <f t="array" ref="C551">_xlfn.IFS(
    Dataset[[#This Row],[Age]]&lt;=10, "0-10",
    AND(Dataset[[#This Row],[Age]]&gt;10, Dataset[[#This Row],[Age]]&lt;=18), "11-18",
    AND(Dataset[[#This Row],[Age]]&gt;18, Dataset[[#This Row],[Age]]&lt;=30), "19-30",
    AND(Dataset[[#This Row],[Age]]&gt;30, Dataset[[#This Row],[Age]]&lt;=60), "31-60",
    Dataset[[#This Row],[Age]]&gt;60, "above 60"
)</f>
        <v>31-60</v>
      </c>
      <c r="D551">
        <v>1</v>
      </c>
      <c r="E551">
        <v>1</v>
      </c>
      <c r="F551">
        <v>0</v>
      </c>
      <c r="G55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51" s="1" t="s">
        <v>37</v>
      </c>
      <c r="I551" s="1" t="s">
        <v>15</v>
      </c>
      <c r="J551" s="1" t="s">
        <v>22</v>
      </c>
      <c r="K551">
        <v>1</v>
      </c>
    </row>
    <row r="552" spans="1:11" x14ac:dyDescent="0.3">
      <c r="A552" s="1" t="s">
        <v>9</v>
      </c>
      <c r="B552">
        <v>50</v>
      </c>
      <c r="C552" t="str" cm="1">
        <f t="array" ref="C552">_xlfn.IFS(
    Dataset[[#This Row],[Age]]&lt;=10, "0-10",
    AND(Dataset[[#This Row],[Age]]&gt;10, Dataset[[#This Row],[Age]]&lt;=18), "11-18",
    AND(Dataset[[#This Row],[Age]]&gt;18, Dataset[[#This Row],[Age]]&lt;=30), "19-30",
    AND(Dataset[[#This Row],[Age]]&gt;30, Dataset[[#This Row],[Age]]&lt;=60), "31-60",
    Dataset[[#This Row],[Age]]&gt;60, "above 60"
)</f>
        <v>31-60</v>
      </c>
      <c r="D552">
        <v>0</v>
      </c>
      <c r="E552">
        <v>0</v>
      </c>
      <c r="F552">
        <v>0</v>
      </c>
      <c r="G55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52" s="1" t="s">
        <v>45</v>
      </c>
      <c r="I552" s="1" t="s">
        <v>11</v>
      </c>
      <c r="J552" s="1" t="s">
        <v>12</v>
      </c>
      <c r="K552">
        <v>0</v>
      </c>
    </row>
    <row r="553" spans="1:11" x14ac:dyDescent="0.3">
      <c r="A553" s="1" t="s">
        <v>13</v>
      </c>
      <c r="B553">
        <v>25</v>
      </c>
      <c r="C553" t="str" cm="1">
        <f t="array" ref="C553">_xlfn.IFS(
    Dataset[[#This Row],[Age]]&lt;=10, "0-10",
    AND(Dataset[[#This Row],[Age]]&gt;10, Dataset[[#This Row],[Age]]&lt;=18), "11-18",
    AND(Dataset[[#This Row],[Age]]&gt;18, Dataset[[#This Row],[Age]]&lt;=30), "19-30",
    AND(Dataset[[#This Row],[Age]]&gt;30, Dataset[[#This Row],[Age]]&lt;=60), "31-60",
    Dataset[[#This Row],[Age]]&gt;60, "above 60"
)</f>
        <v>19-30</v>
      </c>
      <c r="D553">
        <v>0</v>
      </c>
      <c r="E553">
        <v>0</v>
      </c>
      <c r="F553">
        <v>0</v>
      </c>
      <c r="G55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53" s="1" t="s">
        <v>34</v>
      </c>
      <c r="I553" s="1" t="s">
        <v>15</v>
      </c>
      <c r="J553" s="1" t="s">
        <v>22</v>
      </c>
      <c r="K553">
        <v>0</v>
      </c>
    </row>
    <row r="554" spans="1:11" x14ac:dyDescent="0.3">
      <c r="A554" s="1" t="s">
        <v>9</v>
      </c>
      <c r="B554">
        <v>34</v>
      </c>
      <c r="C554" t="str" cm="1">
        <f t="array" ref="C554">_xlfn.IFS(
    Dataset[[#This Row],[Age]]&lt;=10, "0-10",
    AND(Dataset[[#This Row],[Age]]&gt;10, Dataset[[#This Row],[Age]]&lt;=18), "11-18",
    AND(Dataset[[#This Row],[Age]]&gt;18, Dataset[[#This Row],[Age]]&lt;=30), "19-30",
    AND(Dataset[[#This Row],[Age]]&gt;30, Dataset[[#This Row],[Age]]&lt;=60), "31-60",
    Dataset[[#This Row],[Age]]&gt;60, "above 60"
)</f>
        <v>31-60</v>
      </c>
      <c r="D554">
        <v>1</v>
      </c>
      <c r="E554">
        <v>1</v>
      </c>
      <c r="F554">
        <v>0</v>
      </c>
      <c r="G55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54" s="1" t="s">
        <v>21</v>
      </c>
      <c r="I554" s="1" t="s">
        <v>11</v>
      </c>
      <c r="J554" s="1" t="s">
        <v>12</v>
      </c>
      <c r="K554">
        <v>1</v>
      </c>
    </row>
    <row r="555" spans="1:11" x14ac:dyDescent="0.3">
      <c r="A555" s="1" t="s">
        <v>9</v>
      </c>
      <c r="B555">
        <v>54</v>
      </c>
      <c r="C555" t="str" cm="1">
        <f t="array" ref="C555">_xlfn.IFS(
    Dataset[[#This Row],[Age]]&lt;=10, "0-10",
    AND(Dataset[[#This Row],[Age]]&gt;10, Dataset[[#This Row],[Age]]&lt;=18), "11-18",
    AND(Dataset[[#This Row],[Age]]&gt;18, Dataset[[#This Row],[Age]]&lt;=30), "19-30",
    AND(Dataset[[#This Row],[Age]]&gt;30, Dataset[[#This Row],[Age]]&lt;=60), "31-60",
    Dataset[[#This Row],[Age]]&gt;60, "above 60"
)</f>
        <v>31-60</v>
      </c>
      <c r="D555">
        <v>0</v>
      </c>
      <c r="E555">
        <v>0</v>
      </c>
      <c r="F555">
        <v>0</v>
      </c>
      <c r="G55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55" s="1" t="s">
        <v>10</v>
      </c>
      <c r="I555" s="1" t="s">
        <v>15</v>
      </c>
      <c r="J555" s="1" t="s">
        <v>22</v>
      </c>
      <c r="K555">
        <v>0</v>
      </c>
    </row>
    <row r="556" spans="1:11" x14ac:dyDescent="0.3">
      <c r="A556" s="1" t="s">
        <v>9</v>
      </c>
      <c r="B556">
        <v>35</v>
      </c>
      <c r="C556" t="str" cm="1">
        <f t="array" ref="C556">_xlfn.IFS(
    Dataset[[#This Row],[Age]]&lt;=10, "0-10",
    AND(Dataset[[#This Row],[Age]]&gt;10, Dataset[[#This Row],[Age]]&lt;=18), "11-18",
    AND(Dataset[[#This Row],[Age]]&gt;18, Dataset[[#This Row],[Age]]&lt;=30), "19-30",
    AND(Dataset[[#This Row],[Age]]&gt;30, Dataset[[#This Row],[Age]]&lt;=60), "31-60",
    Dataset[[#This Row],[Age]]&gt;60, "above 60"
)</f>
        <v>31-60</v>
      </c>
      <c r="D556">
        <v>1</v>
      </c>
      <c r="E556">
        <v>1</v>
      </c>
      <c r="F556">
        <v>0</v>
      </c>
      <c r="G55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56" s="1" t="s">
        <v>39</v>
      </c>
      <c r="I556" s="1" t="s">
        <v>11</v>
      </c>
      <c r="J556" s="1" t="s">
        <v>12</v>
      </c>
      <c r="K556">
        <v>1</v>
      </c>
    </row>
    <row r="557" spans="1:11" x14ac:dyDescent="0.3">
      <c r="A557" s="1" t="s">
        <v>13</v>
      </c>
      <c r="B557">
        <v>29</v>
      </c>
      <c r="C557" t="str" cm="1">
        <f t="array" ref="C557">_xlfn.IFS(
    Dataset[[#This Row],[Age]]&lt;=10, "0-10",
    AND(Dataset[[#This Row],[Age]]&gt;10, Dataset[[#This Row],[Age]]&lt;=18), "11-18",
    AND(Dataset[[#This Row],[Age]]&gt;18, Dataset[[#This Row],[Age]]&lt;=30), "19-30",
    AND(Dataset[[#This Row],[Age]]&gt;30, Dataset[[#This Row],[Age]]&lt;=60), "31-60",
    Dataset[[#This Row],[Age]]&gt;60, "above 60"
)</f>
        <v>19-30</v>
      </c>
      <c r="D557">
        <v>1</v>
      </c>
      <c r="E557">
        <v>1</v>
      </c>
      <c r="F557">
        <v>1</v>
      </c>
      <c r="G55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57" s="1" t="s">
        <v>26</v>
      </c>
      <c r="I557" s="1" t="s">
        <v>15</v>
      </c>
      <c r="J557" s="1" t="s">
        <v>12</v>
      </c>
      <c r="K557">
        <v>1</v>
      </c>
    </row>
    <row r="558" spans="1:11" x14ac:dyDescent="0.3">
      <c r="A558" s="1" t="s">
        <v>9</v>
      </c>
      <c r="B558">
        <v>18</v>
      </c>
      <c r="C558" t="str" cm="1">
        <f t="array" ref="C558">_xlfn.IFS(
    Dataset[[#This Row],[Age]]&lt;=10, "0-10",
    AND(Dataset[[#This Row],[Age]]&gt;10, Dataset[[#This Row],[Age]]&lt;=18), "11-18",
    AND(Dataset[[#This Row],[Age]]&gt;18, Dataset[[#This Row],[Age]]&lt;=30), "19-30",
    AND(Dataset[[#This Row],[Age]]&gt;30, Dataset[[#This Row],[Age]]&lt;=60), "31-60",
    Dataset[[#This Row],[Age]]&gt;60, "above 60"
)</f>
        <v>11-18</v>
      </c>
      <c r="D558">
        <v>1</v>
      </c>
      <c r="E558">
        <v>1</v>
      </c>
      <c r="F558">
        <v>0</v>
      </c>
      <c r="G55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58" s="1" t="s">
        <v>45</v>
      </c>
      <c r="I558" s="1" t="s">
        <v>11</v>
      </c>
      <c r="J558" s="1" t="s">
        <v>17</v>
      </c>
      <c r="K558">
        <v>1</v>
      </c>
    </row>
    <row r="559" spans="1:11" x14ac:dyDescent="0.3">
      <c r="A559" s="1" t="s">
        <v>9</v>
      </c>
      <c r="B559">
        <v>12</v>
      </c>
      <c r="C559" t="str" cm="1">
        <f t="array" ref="C559">_xlfn.IFS(
    Dataset[[#This Row],[Age]]&lt;=10, "0-10",
    AND(Dataset[[#This Row],[Age]]&gt;10, Dataset[[#This Row],[Age]]&lt;=18), "11-18",
    AND(Dataset[[#This Row],[Age]]&gt;18, Dataset[[#This Row],[Age]]&lt;=30), "19-30",
    AND(Dataset[[#This Row],[Age]]&gt;30, Dataset[[#This Row],[Age]]&lt;=60), "31-60",
    Dataset[[#This Row],[Age]]&gt;60, "above 60"
)</f>
        <v>11-18</v>
      </c>
      <c r="D559">
        <v>1</v>
      </c>
      <c r="E559">
        <v>1</v>
      </c>
      <c r="F559">
        <v>1</v>
      </c>
      <c r="G55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59" s="1" t="s">
        <v>51</v>
      </c>
      <c r="I559" s="1" t="s">
        <v>15</v>
      </c>
      <c r="J559" s="1" t="s">
        <v>22</v>
      </c>
      <c r="K559">
        <v>1</v>
      </c>
    </row>
    <row r="560" spans="1:11" x14ac:dyDescent="0.3">
      <c r="A560" s="1" t="s">
        <v>9</v>
      </c>
      <c r="B560">
        <v>19</v>
      </c>
      <c r="C560" t="str" cm="1">
        <f t="array" ref="C560">_xlfn.IFS(
    Dataset[[#This Row],[Age]]&lt;=10, "0-10",
    AND(Dataset[[#This Row],[Age]]&gt;10, Dataset[[#This Row],[Age]]&lt;=18), "11-18",
    AND(Dataset[[#This Row],[Age]]&gt;18, Dataset[[#This Row],[Age]]&lt;=30), "19-30",
    AND(Dataset[[#This Row],[Age]]&gt;30, Dataset[[#This Row],[Age]]&lt;=60), "31-60",
    Dataset[[#This Row],[Age]]&gt;60, "above 60"
)</f>
        <v>19-30</v>
      </c>
      <c r="D560">
        <v>0</v>
      </c>
      <c r="E560">
        <v>0</v>
      </c>
      <c r="F560">
        <v>0</v>
      </c>
      <c r="G56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60" s="1" t="s">
        <v>38</v>
      </c>
      <c r="I560" s="1" t="s">
        <v>11</v>
      </c>
      <c r="J560" s="1" t="s">
        <v>17</v>
      </c>
      <c r="K560">
        <v>0</v>
      </c>
    </row>
    <row r="561" spans="1:11" x14ac:dyDescent="0.3">
      <c r="A561" s="1" t="s">
        <v>9</v>
      </c>
      <c r="B561">
        <v>38</v>
      </c>
      <c r="C561" t="str" cm="1">
        <f t="array" ref="C561">_xlfn.IFS(
    Dataset[[#This Row],[Age]]&lt;=10, "0-10",
    AND(Dataset[[#This Row],[Age]]&gt;10, Dataset[[#This Row],[Age]]&lt;=18), "11-18",
    AND(Dataset[[#This Row],[Age]]&gt;18, Dataset[[#This Row],[Age]]&lt;=30), "19-30",
    AND(Dataset[[#This Row],[Age]]&gt;30, Dataset[[#This Row],[Age]]&lt;=60), "31-60",
    Dataset[[#This Row],[Age]]&gt;60, "above 60"
)</f>
        <v>31-60</v>
      </c>
      <c r="D561">
        <v>1</v>
      </c>
      <c r="E561">
        <v>1</v>
      </c>
      <c r="F561">
        <v>0</v>
      </c>
      <c r="G56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61" s="1" t="s">
        <v>25</v>
      </c>
      <c r="I561" s="1" t="s">
        <v>15</v>
      </c>
      <c r="J561" s="1" t="s">
        <v>17</v>
      </c>
      <c r="K561">
        <v>1</v>
      </c>
    </row>
    <row r="562" spans="1:11" x14ac:dyDescent="0.3">
      <c r="A562" s="1" t="s">
        <v>13</v>
      </c>
      <c r="B562">
        <v>46</v>
      </c>
      <c r="C562" t="str" cm="1">
        <f t="array" ref="C562">_xlfn.IFS(
    Dataset[[#This Row],[Age]]&lt;=10, "0-10",
    AND(Dataset[[#This Row],[Age]]&gt;10, Dataset[[#This Row],[Age]]&lt;=18), "11-18",
    AND(Dataset[[#This Row],[Age]]&gt;18, Dataset[[#This Row],[Age]]&lt;=30), "19-30",
    AND(Dataset[[#This Row],[Age]]&gt;30, Dataset[[#This Row],[Age]]&lt;=60), "31-60",
    Dataset[[#This Row],[Age]]&gt;60, "above 60"
)</f>
        <v>31-60</v>
      </c>
      <c r="D562">
        <v>0</v>
      </c>
      <c r="E562">
        <v>0</v>
      </c>
      <c r="F562">
        <v>0</v>
      </c>
      <c r="G56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62" s="1" t="s">
        <v>40</v>
      </c>
      <c r="I562" s="1" t="s">
        <v>11</v>
      </c>
      <c r="J562" s="1" t="s">
        <v>17</v>
      </c>
      <c r="K562">
        <v>0</v>
      </c>
    </row>
    <row r="563" spans="1:11" x14ac:dyDescent="0.3">
      <c r="A563" s="1" t="s">
        <v>9</v>
      </c>
      <c r="B563">
        <v>9</v>
      </c>
      <c r="C563" t="str" cm="1">
        <f t="array" ref="C563">_xlfn.IFS(
    Dataset[[#This Row],[Age]]&lt;=10, "0-10",
    AND(Dataset[[#This Row],[Age]]&gt;10, Dataset[[#This Row],[Age]]&lt;=18), "11-18",
    AND(Dataset[[#This Row],[Age]]&gt;18, Dataset[[#This Row],[Age]]&lt;=30), "19-30",
    AND(Dataset[[#This Row],[Age]]&gt;30, Dataset[[#This Row],[Age]]&lt;=60), "31-60",
    Dataset[[#This Row],[Age]]&gt;60, "above 60"
)</f>
        <v>0-10</v>
      </c>
      <c r="D563">
        <v>1</v>
      </c>
      <c r="E563">
        <v>1</v>
      </c>
      <c r="F563">
        <v>0</v>
      </c>
      <c r="G56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63" s="1" t="s">
        <v>23</v>
      </c>
      <c r="I563" s="1" t="s">
        <v>15</v>
      </c>
      <c r="J563" s="1" t="s">
        <v>12</v>
      </c>
      <c r="K563">
        <v>1</v>
      </c>
    </row>
    <row r="564" spans="1:11" x14ac:dyDescent="0.3">
      <c r="A564" s="1" t="s">
        <v>9</v>
      </c>
      <c r="B564">
        <v>42</v>
      </c>
      <c r="C564" t="str" cm="1">
        <f t="array" ref="C564">_xlfn.IFS(
    Dataset[[#This Row],[Age]]&lt;=10, "0-10",
    AND(Dataset[[#This Row],[Age]]&gt;10, Dataset[[#This Row],[Age]]&lt;=18), "11-18",
    AND(Dataset[[#This Row],[Age]]&gt;18, Dataset[[#This Row],[Age]]&lt;=30), "19-30",
    AND(Dataset[[#This Row],[Age]]&gt;30, Dataset[[#This Row],[Age]]&lt;=60), "31-60",
    Dataset[[#This Row],[Age]]&gt;60, "above 60"
)</f>
        <v>31-60</v>
      </c>
      <c r="D564">
        <v>1</v>
      </c>
      <c r="E564">
        <v>1</v>
      </c>
      <c r="F564">
        <v>1</v>
      </c>
      <c r="G56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64" s="1" t="s">
        <v>29</v>
      </c>
      <c r="I564" s="1" t="s">
        <v>11</v>
      </c>
      <c r="J564" s="1" t="s">
        <v>12</v>
      </c>
      <c r="K564">
        <v>1</v>
      </c>
    </row>
    <row r="565" spans="1:11" x14ac:dyDescent="0.3">
      <c r="A565" s="1" t="s">
        <v>13</v>
      </c>
      <c r="B565">
        <v>23</v>
      </c>
      <c r="C565" t="str" cm="1">
        <f t="array" ref="C565">_xlfn.IFS(
    Dataset[[#This Row],[Age]]&lt;=10, "0-10",
    AND(Dataset[[#This Row],[Age]]&gt;10, Dataset[[#This Row],[Age]]&lt;=18), "11-18",
    AND(Dataset[[#This Row],[Age]]&gt;18, Dataset[[#This Row],[Age]]&lt;=30), "19-30",
    AND(Dataset[[#This Row],[Age]]&gt;30, Dataset[[#This Row],[Age]]&lt;=60), "31-60",
    Dataset[[#This Row],[Age]]&gt;60, "above 60"
)</f>
        <v>19-30</v>
      </c>
      <c r="D565">
        <v>0</v>
      </c>
      <c r="E565">
        <v>0</v>
      </c>
      <c r="F565">
        <v>1</v>
      </c>
      <c r="G56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65" s="1" t="s">
        <v>16</v>
      </c>
      <c r="I565" s="1" t="s">
        <v>15</v>
      </c>
      <c r="J565" s="1" t="s">
        <v>12</v>
      </c>
      <c r="K565">
        <v>0</v>
      </c>
    </row>
    <row r="566" spans="1:11" x14ac:dyDescent="0.3">
      <c r="A566" s="1" t="s">
        <v>9</v>
      </c>
      <c r="B566">
        <v>45</v>
      </c>
      <c r="C566" t="str" cm="1">
        <f t="array" ref="C566">_xlfn.IFS(
    Dataset[[#This Row],[Age]]&lt;=10, "0-10",
    AND(Dataset[[#This Row],[Age]]&gt;10, Dataset[[#This Row],[Age]]&lt;=18), "11-18",
    AND(Dataset[[#This Row],[Age]]&gt;18, Dataset[[#This Row],[Age]]&lt;=30), "19-30",
    AND(Dataset[[#This Row],[Age]]&gt;30, Dataset[[#This Row],[Age]]&lt;=60), "31-60",
    Dataset[[#This Row],[Age]]&gt;60, "above 60"
)</f>
        <v>31-60</v>
      </c>
      <c r="D566">
        <v>1</v>
      </c>
      <c r="E566">
        <v>1</v>
      </c>
      <c r="F566">
        <v>1</v>
      </c>
      <c r="G56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66" s="1" t="s">
        <v>16</v>
      </c>
      <c r="I566" s="1" t="s">
        <v>11</v>
      </c>
      <c r="J566" s="1" t="s">
        <v>12</v>
      </c>
      <c r="K566">
        <v>1</v>
      </c>
    </row>
    <row r="567" spans="1:11" x14ac:dyDescent="0.3">
      <c r="A567" s="1" t="s">
        <v>9</v>
      </c>
      <c r="B567">
        <v>29</v>
      </c>
      <c r="C567" t="str" cm="1">
        <f t="array" ref="C567">_xlfn.IFS(
    Dataset[[#This Row],[Age]]&lt;=10, "0-10",
    AND(Dataset[[#This Row],[Age]]&gt;10, Dataset[[#This Row],[Age]]&lt;=18), "11-18",
    AND(Dataset[[#This Row],[Age]]&gt;18, Dataset[[#This Row],[Age]]&lt;=30), "19-30",
    AND(Dataset[[#This Row],[Age]]&gt;30, Dataset[[#This Row],[Age]]&lt;=60), "31-60",
    Dataset[[#This Row],[Age]]&gt;60, "above 60"
)</f>
        <v>19-30</v>
      </c>
      <c r="D567">
        <v>1</v>
      </c>
      <c r="E567">
        <v>1</v>
      </c>
      <c r="F567">
        <v>1</v>
      </c>
      <c r="G56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67" s="1" t="s">
        <v>16</v>
      </c>
      <c r="I567" s="1" t="s">
        <v>15</v>
      </c>
      <c r="J567" s="1" t="s">
        <v>12</v>
      </c>
      <c r="K567">
        <v>1</v>
      </c>
    </row>
    <row r="568" spans="1:11" x14ac:dyDescent="0.3">
      <c r="A568" s="1" t="s">
        <v>13</v>
      </c>
      <c r="B568">
        <v>31</v>
      </c>
      <c r="C568" t="str" cm="1">
        <f t="array" ref="C568">_xlfn.IFS(
    Dataset[[#This Row],[Age]]&lt;=10, "0-10",
    AND(Dataset[[#This Row],[Age]]&gt;10, Dataset[[#This Row],[Age]]&lt;=18), "11-18",
    AND(Dataset[[#This Row],[Age]]&gt;18, Dataset[[#This Row],[Age]]&lt;=30), "19-30",
    AND(Dataset[[#This Row],[Age]]&gt;30, Dataset[[#This Row],[Age]]&lt;=60), "31-60",
    Dataset[[#This Row],[Age]]&gt;60, "above 60"
)</f>
        <v>31-60</v>
      </c>
      <c r="D568">
        <v>1</v>
      </c>
      <c r="E568">
        <v>1</v>
      </c>
      <c r="F568">
        <v>1</v>
      </c>
      <c r="G56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68" s="1" t="s">
        <v>49</v>
      </c>
      <c r="I568" s="1" t="s">
        <v>11</v>
      </c>
      <c r="J568" s="1" t="s">
        <v>22</v>
      </c>
      <c r="K568">
        <v>1</v>
      </c>
    </row>
    <row r="569" spans="1:11" x14ac:dyDescent="0.3">
      <c r="A569" s="1" t="s">
        <v>13</v>
      </c>
      <c r="B569">
        <v>34</v>
      </c>
      <c r="C569" t="str" cm="1">
        <f t="array" ref="C569">_xlfn.IFS(
    Dataset[[#This Row],[Age]]&lt;=10, "0-10",
    AND(Dataset[[#This Row],[Age]]&gt;10, Dataset[[#This Row],[Age]]&lt;=18), "11-18",
    AND(Dataset[[#This Row],[Age]]&gt;18, Dataset[[#This Row],[Age]]&lt;=30), "19-30",
    AND(Dataset[[#This Row],[Age]]&gt;30, Dataset[[#This Row],[Age]]&lt;=60), "31-60",
    Dataset[[#This Row],[Age]]&gt;60, "above 60"
)</f>
        <v>31-60</v>
      </c>
      <c r="D569">
        <v>0</v>
      </c>
      <c r="E569">
        <v>0</v>
      </c>
      <c r="F569">
        <v>0</v>
      </c>
      <c r="G56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69" s="1" t="s">
        <v>34</v>
      </c>
      <c r="I569" s="1" t="s">
        <v>15</v>
      </c>
      <c r="J569" s="1" t="s">
        <v>22</v>
      </c>
      <c r="K569">
        <v>0</v>
      </c>
    </row>
    <row r="570" spans="1:11" x14ac:dyDescent="0.3">
      <c r="A570" s="1" t="s">
        <v>9</v>
      </c>
      <c r="B570">
        <v>61</v>
      </c>
      <c r="C570" t="str" cm="1">
        <f t="array" ref="C570">_xlfn.IFS(
    Dataset[[#This Row],[Age]]&lt;=10, "0-10",
    AND(Dataset[[#This Row],[Age]]&gt;10, Dataset[[#This Row],[Age]]&lt;=18), "11-18",
    AND(Dataset[[#This Row],[Age]]&gt;18, Dataset[[#This Row],[Age]]&lt;=30), "19-30",
    AND(Dataset[[#This Row],[Age]]&gt;30, Dataset[[#This Row],[Age]]&lt;=60), "31-60",
    Dataset[[#This Row],[Age]]&gt;60, "above 60"
)</f>
        <v>above 60</v>
      </c>
      <c r="D570">
        <v>1</v>
      </c>
      <c r="E570">
        <v>1</v>
      </c>
      <c r="F570">
        <v>1</v>
      </c>
      <c r="G57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70" s="1" t="s">
        <v>51</v>
      </c>
      <c r="I570" s="1" t="s">
        <v>11</v>
      </c>
      <c r="J570" s="1" t="s">
        <v>22</v>
      </c>
      <c r="K570">
        <v>1</v>
      </c>
    </row>
    <row r="571" spans="1:11" x14ac:dyDescent="0.3">
      <c r="A571" s="1" t="s">
        <v>9</v>
      </c>
      <c r="B571">
        <v>26</v>
      </c>
      <c r="C571" t="str" cm="1">
        <f t="array" ref="C571">_xlfn.IFS(
    Dataset[[#This Row],[Age]]&lt;=10, "0-10",
    AND(Dataset[[#This Row],[Age]]&gt;10, Dataset[[#This Row],[Age]]&lt;=18), "11-18",
    AND(Dataset[[#This Row],[Age]]&gt;18, Dataset[[#This Row],[Age]]&lt;=30), "19-30",
    AND(Dataset[[#This Row],[Age]]&gt;30, Dataset[[#This Row],[Age]]&lt;=60), "31-60",
    Dataset[[#This Row],[Age]]&gt;60, "above 60"
)</f>
        <v>19-30</v>
      </c>
      <c r="D571">
        <v>1</v>
      </c>
      <c r="E571">
        <v>1</v>
      </c>
      <c r="F571">
        <v>1</v>
      </c>
      <c r="G57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71" s="1" t="s">
        <v>38</v>
      </c>
      <c r="I571" s="1" t="s">
        <v>15</v>
      </c>
      <c r="J571" s="1" t="s">
        <v>22</v>
      </c>
      <c r="K571">
        <v>1</v>
      </c>
    </row>
    <row r="572" spans="1:11" x14ac:dyDescent="0.3">
      <c r="A572" s="1" t="s">
        <v>9</v>
      </c>
      <c r="B572">
        <v>52</v>
      </c>
      <c r="C572" t="str" cm="1">
        <f t="array" ref="C572">_xlfn.IFS(
    Dataset[[#This Row],[Age]]&lt;=10, "0-10",
    AND(Dataset[[#This Row],[Age]]&gt;10, Dataset[[#This Row],[Age]]&lt;=18), "11-18",
    AND(Dataset[[#This Row],[Age]]&gt;18, Dataset[[#This Row],[Age]]&lt;=30), "19-30",
    AND(Dataset[[#This Row],[Age]]&gt;30, Dataset[[#This Row],[Age]]&lt;=60), "31-60",
    Dataset[[#This Row],[Age]]&gt;60, "above 60"
)</f>
        <v>31-60</v>
      </c>
      <c r="D572">
        <v>0</v>
      </c>
      <c r="E572">
        <v>0</v>
      </c>
      <c r="F572">
        <v>0</v>
      </c>
      <c r="G57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72" s="1" t="s">
        <v>34</v>
      </c>
      <c r="I572" s="1" t="s">
        <v>11</v>
      </c>
      <c r="J572" s="1" t="s">
        <v>17</v>
      </c>
      <c r="K572">
        <v>0</v>
      </c>
    </row>
    <row r="573" spans="1:11" x14ac:dyDescent="0.3">
      <c r="A573" s="1" t="s">
        <v>9</v>
      </c>
      <c r="B573">
        <v>24</v>
      </c>
      <c r="C573" t="str" cm="1">
        <f t="array" ref="C573">_xlfn.IFS(
    Dataset[[#This Row],[Age]]&lt;=10, "0-10",
    AND(Dataset[[#This Row],[Age]]&gt;10, Dataset[[#This Row],[Age]]&lt;=18), "11-18",
    AND(Dataset[[#This Row],[Age]]&gt;18, Dataset[[#This Row],[Age]]&lt;=30), "19-30",
    AND(Dataset[[#This Row],[Age]]&gt;30, Dataset[[#This Row],[Age]]&lt;=60), "31-60",
    Dataset[[#This Row],[Age]]&gt;60, "above 60"
)</f>
        <v>19-30</v>
      </c>
      <c r="D573">
        <v>0</v>
      </c>
      <c r="E573">
        <v>0</v>
      </c>
      <c r="F573">
        <v>0</v>
      </c>
      <c r="G57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73" s="1" t="s">
        <v>24</v>
      </c>
      <c r="I573" s="1" t="s">
        <v>15</v>
      </c>
      <c r="J573" s="1" t="s">
        <v>22</v>
      </c>
      <c r="K573">
        <v>0</v>
      </c>
    </row>
    <row r="574" spans="1:11" x14ac:dyDescent="0.3">
      <c r="A574" s="1" t="s">
        <v>13</v>
      </c>
      <c r="B574">
        <v>19</v>
      </c>
      <c r="C574" t="str" cm="1">
        <f t="array" ref="C574">_xlfn.IFS(
    Dataset[[#This Row],[Age]]&lt;=10, "0-10",
    AND(Dataset[[#This Row],[Age]]&gt;10, Dataset[[#This Row],[Age]]&lt;=18), "11-18",
    AND(Dataset[[#This Row],[Age]]&gt;18, Dataset[[#This Row],[Age]]&lt;=30), "19-30",
    AND(Dataset[[#This Row],[Age]]&gt;30, Dataset[[#This Row],[Age]]&lt;=60), "31-60",
    Dataset[[#This Row],[Age]]&gt;60, "above 60"
)</f>
        <v>19-30</v>
      </c>
      <c r="D574">
        <v>0</v>
      </c>
      <c r="E574">
        <v>0</v>
      </c>
      <c r="F574">
        <v>1</v>
      </c>
      <c r="G57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74" s="1" t="s">
        <v>35</v>
      </c>
      <c r="I574" s="1" t="s">
        <v>11</v>
      </c>
      <c r="J574" s="1" t="s">
        <v>12</v>
      </c>
      <c r="K574">
        <v>0</v>
      </c>
    </row>
    <row r="575" spans="1:11" x14ac:dyDescent="0.3">
      <c r="A575" s="1" t="s">
        <v>9</v>
      </c>
      <c r="B575">
        <v>47</v>
      </c>
      <c r="C575" t="str" cm="1">
        <f t="array" ref="C575">_xlfn.IFS(
    Dataset[[#This Row],[Age]]&lt;=10, "0-10",
    AND(Dataset[[#This Row],[Age]]&gt;10, Dataset[[#This Row],[Age]]&lt;=18), "11-18",
    AND(Dataset[[#This Row],[Age]]&gt;18, Dataset[[#This Row],[Age]]&lt;=30), "19-30",
    AND(Dataset[[#This Row],[Age]]&gt;30, Dataset[[#This Row],[Age]]&lt;=60), "31-60",
    Dataset[[#This Row],[Age]]&gt;60, "above 60"
)</f>
        <v>31-60</v>
      </c>
      <c r="D575">
        <v>1</v>
      </c>
      <c r="E575">
        <v>1</v>
      </c>
      <c r="F575">
        <v>0</v>
      </c>
      <c r="G57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75" s="1" t="s">
        <v>46</v>
      </c>
      <c r="I575" s="1" t="s">
        <v>15</v>
      </c>
      <c r="J575" s="1" t="s">
        <v>22</v>
      </c>
      <c r="K575">
        <v>1</v>
      </c>
    </row>
    <row r="576" spans="1:11" x14ac:dyDescent="0.3">
      <c r="A576" s="1" t="s">
        <v>9</v>
      </c>
      <c r="B576">
        <v>14</v>
      </c>
      <c r="C576" t="str" cm="1">
        <f t="array" ref="C576">_xlfn.IFS(
    Dataset[[#This Row],[Age]]&lt;=10, "0-10",
    AND(Dataset[[#This Row],[Age]]&gt;10, Dataset[[#This Row],[Age]]&lt;=18), "11-18",
    AND(Dataset[[#This Row],[Age]]&gt;18, Dataset[[#This Row],[Age]]&lt;=30), "19-30",
    AND(Dataset[[#This Row],[Age]]&gt;30, Dataset[[#This Row],[Age]]&lt;=60), "31-60",
    Dataset[[#This Row],[Age]]&gt;60, "above 60"
)</f>
        <v>11-18</v>
      </c>
      <c r="D576">
        <v>1</v>
      </c>
      <c r="E576">
        <v>1</v>
      </c>
      <c r="F576">
        <v>1</v>
      </c>
      <c r="G57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76" s="1" t="s">
        <v>26</v>
      </c>
      <c r="I576" s="1" t="s">
        <v>11</v>
      </c>
      <c r="J576" s="1" t="s">
        <v>22</v>
      </c>
      <c r="K576">
        <v>1</v>
      </c>
    </row>
    <row r="577" spans="1:11" x14ac:dyDescent="0.3">
      <c r="A577" s="1" t="s">
        <v>13</v>
      </c>
      <c r="B577">
        <v>62</v>
      </c>
      <c r="C577" t="str" cm="1">
        <f t="array" ref="C577">_xlfn.IFS(
    Dataset[[#This Row],[Age]]&lt;=10, "0-10",
    AND(Dataset[[#This Row],[Age]]&gt;10, Dataset[[#This Row],[Age]]&lt;=18), "11-18",
    AND(Dataset[[#This Row],[Age]]&gt;18, Dataset[[#This Row],[Age]]&lt;=30), "19-30",
    AND(Dataset[[#This Row],[Age]]&gt;30, Dataset[[#This Row],[Age]]&lt;=60), "31-60",
    Dataset[[#This Row],[Age]]&gt;60, "above 60"
)</f>
        <v>above 60</v>
      </c>
      <c r="D577">
        <v>1</v>
      </c>
      <c r="E577">
        <v>1</v>
      </c>
      <c r="F577">
        <v>0</v>
      </c>
      <c r="G57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77" s="1" t="s">
        <v>35</v>
      </c>
      <c r="I577" s="1" t="s">
        <v>15</v>
      </c>
      <c r="J577" s="1" t="s">
        <v>22</v>
      </c>
      <c r="K577">
        <v>1</v>
      </c>
    </row>
    <row r="578" spans="1:11" x14ac:dyDescent="0.3">
      <c r="A578" s="1" t="s">
        <v>13</v>
      </c>
      <c r="B578">
        <v>53</v>
      </c>
      <c r="C578" t="str" cm="1">
        <f t="array" ref="C578">_xlfn.IFS(
    Dataset[[#This Row],[Age]]&lt;=10, "0-10",
    AND(Dataset[[#This Row],[Age]]&gt;10, Dataset[[#This Row],[Age]]&lt;=18), "11-18",
    AND(Dataset[[#This Row],[Age]]&gt;18, Dataset[[#This Row],[Age]]&lt;=30), "19-30",
    AND(Dataset[[#This Row],[Age]]&gt;30, Dataset[[#This Row],[Age]]&lt;=60), "31-60",
    Dataset[[#This Row],[Age]]&gt;60, "above 60"
)</f>
        <v>31-60</v>
      </c>
      <c r="D578">
        <v>1</v>
      </c>
      <c r="E578">
        <v>1</v>
      </c>
      <c r="F578">
        <v>1</v>
      </c>
      <c r="G57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78" s="1" t="s">
        <v>10</v>
      </c>
      <c r="I578" s="1" t="s">
        <v>11</v>
      </c>
      <c r="J578" s="1" t="s">
        <v>22</v>
      </c>
      <c r="K578">
        <v>1</v>
      </c>
    </row>
    <row r="579" spans="1:11" x14ac:dyDescent="0.3">
      <c r="A579" s="1" t="s">
        <v>13</v>
      </c>
      <c r="B579">
        <v>49</v>
      </c>
      <c r="C579" t="str" cm="1">
        <f t="array" ref="C579">_xlfn.IFS(
    Dataset[[#This Row],[Age]]&lt;=10, "0-10",
    AND(Dataset[[#This Row],[Age]]&gt;10, Dataset[[#This Row],[Age]]&lt;=18), "11-18",
    AND(Dataset[[#This Row],[Age]]&gt;18, Dataset[[#This Row],[Age]]&lt;=30), "19-30",
    AND(Dataset[[#This Row],[Age]]&gt;30, Dataset[[#This Row],[Age]]&lt;=60), "31-60",
    Dataset[[#This Row],[Age]]&gt;60, "above 60"
)</f>
        <v>31-60</v>
      </c>
      <c r="D579">
        <v>0</v>
      </c>
      <c r="E579">
        <v>0</v>
      </c>
      <c r="F579">
        <v>1</v>
      </c>
      <c r="G57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79" s="1" t="s">
        <v>45</v>
      </c>
      <c r="I579" s="1" t="s">
        <v>15</v>
      </c>
      <c r="J579" s="1" t="s">
        <v>22</v>
      </c>
      <c r="K579">
        <v>0</v>
      </c>
    </row>
    <row r="580" spans="1:11" x14ac:dyDescent="0.3">
      <c r="A580" s="1" t="s">
        <v>9</v>
      </c>
      <c r="B580">
        <v>51</v>
      </c>
      <c r="C580" t="str" cm="1">
        <f t="array" ref="C580">_xlfn.IFS(
    Dataset[[#This Row],[Age]]&lt;=10, "0-10",
    AND(Dataset[[#This Row],[Age]]&gt;10, Dataset[[#This Row],[Age]]&lt;=18), "11-18",
    AND(Dataset[[#This Row],[Age]]&gt;18, Dataset[[#This Row],[Age]]&lt;=30), "19-30",
    AND(Dataset[[#This Row],[Age]]&gt;30, Dataset[[#This Row],[Age]]&lt;=60), "31-60",
    Dataset[[#This Row],[Age]]&gt;60, "above 60"
)</f>
        <v>31-60</v>
      </c>
      <c r="D580">
        <v>0</v>
      </c>
      <c r="E580">
        <v>0</v>
      </c>
      <c r="F580">
        <v>1</v>
      </c>
      <c r="G58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80" s="1" t="s">
        <v>27</v>
      </c>
      <c r="I580" s="1" t="s">
        <v>11</v>
      </c>
      <c r="J580" s="1" t="s">
        <v>12</v>
      </c>
      <c r="K580">
        <v>0</v>
      </c>
    </row>
    <row r="581" spans="1:11" x14ac:dyDescent="0.3">
      <c r="A581" s="1" t="s">
        <v>9</v>
      </c>
      <c r="B581">
        <v>61</v>
      </c>
      <c r="C581" t="str" cm="1">
        <f t="array" ref="C581">_xlfn.IFS(
    Dataset[[#This Row],[Age]]&lt;=10, "0-10",
    AND(Dataset[[#This Row],[Age]]&gt;10, Dataset[[#This Row],[Age]]&lt;=18), "11-18",
    AND(Dataset[[#This Row],[Age]]&gt;18, Dataset[[#This Row],[Age]]&lt;=30), "19-30",
    AND(Dataset[[#This Row],[Age]]&gt;30, Dataset[[#This Row],[Age]]&lt;=60), "31-60",
    Dataset[[#This Row],[Age]]&gt;60, "above 60"
)</f>
        <v>above 60</v>
      </c>
      <c r="D581">
        <v>0</v>
      </c>
      <c r="E581">
        <v>0</v>
      </c>
      <c r="F581">
        <v>0</v>
      </c>
      <c r="G58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81" s="1" t="s">
        <v>33</v>
      </c>
      <c r="I581" s="1" t="s">
        <v>15</v>
      </c>
      <c r="J581" s="1" t="s">
        <v>12</v>
      </c>
      <c r="K581">
        <v>0</v>
      </c>
    </row>
    <row r="582" spans="1:11" x14ac:dyDescent="0.3">
      <c r="A582" s="1" t="s">
        <v>9</v>
      </c>
      <c r="B582">
        <v>35</v>
      </c>
      <c r="C582" t="str" cm="1">
        <f t="array" ref="C582">_xlfn.IFS(
    Dataset[[#This Row],[Age]]&lt;=10, "0-10",
    AND(Dataset[[#This Row],[Age]]&gt;10, Dataset[[#This Row],[Age]]&lt;=18), "11-18",
    AND(Dataset[[#This Row],[Age]]&gt;18, Dataset[[#This Row],[Age]]&lt;=30), "19-30",
    AND(Dataset[[#This Row],[Age]]&gt;30, Dataset[[#This Row],[Age]]&lt;=60), "31-60",
    Dataset[[#This Row],[Age]]&gt;60, "above 60"
)</f>
        <v>31-60</v>
      </c>
      <c r="D582">
        <v>1</v>
      </c>
      <c r="E582">
        <v>1</v>
      </c>
      <c r="F582">
        <v>0</v>
      </c>
      <c r="G58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82" s="1" t="s">
        <v>33</v>
      </c>
      <c r="I582" s="1" t="s">
        <v>11</v>
      </c>
      <c r="J582" s="1" t="s">
        <v>12</v>
      </c>
      <c r="K582">
        <v>1</v>
      </c>
    </row>
    <row r="583" spans="1:11" x14ac:dyDescent="0.3">
      <c r="A583" s="1" t="s">
        <v>9</v>
      </c>
      <c r="B583">
        <v>45</v>
      </c>
      <c r="C583" t="str" cm="1">
        <f t="array" ref="C583">_xlfn.IFS(
    Dataset[[#This Row],[Age]]&lt;=10, "0-10",
    AND(Dataset[[#This Row],[Age]]&gt;10, Dataset[[#This Row],[Age]]&lt;=18), "11-18",
    AND(Dataset[[#This Row],[Age]]&gt;18, Dataset[[#This Row],[Age]]&lt;=30), "19-30",
    AND(Dataset[[#This Row],[Age]]&gt;30, Dataset[[#This Row],[Age]]&lt;=60), "31-60",
    Dataset[[#This Row],[Age]]&gt;60, "above 60"
)</f>
        <v>31-60</v>
      </c>
      <c r="D583">
        <v>0</v>
      </c>
      <c r="E583">
        <v>0</v>
      </c>
      <c r="F583">
        <v>1</v>
      </c>
      <c r="G58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83" s="1" t="s">
        <v>48</v>
      </c>
      <c r="I583" s="1" t="s">
        <v>15</v>
      </c>
      <c r="J583" s="1" t="s">
        <v>22</v>
      </c>
      <c r="K583">
        <v>0</v>
      </c>
    </row>
    <row r="584" spans="1:11" x14ac:dyDescent="0.3">
      <c r="A584" s="1" t="s">
        <v>13</v>
      </c>
      <c r="B584">
        <v>25</v>
      </c>
      <c r="C584" t="str" cm="1">
        <f t="array" ref="C584">_xlfn.IFS(
    Dataset[[#This Row],[Age]]&lt;=10, "0-10",
    AND(Dataset[[#This Row],[Age]]&gt;10, Dataset[[#This Row],[Age]]&lt;=18), "11-18",
    AND(Dataset[[#This Row],[Age]]&gt;18, Dataset[[#This Row],[Age]]&lt;=30), "19-30",
    AND(Dataset[[#This Row],[Age]]&gt;30, Dataset[[#This Row],[Age]]&lt;=60), "31-60",
    Dataset[[#This Row],[Age]]&gt;60, "above 60"
)</f>
        <v>19-30</v>
      </c>
      <c r="D584">
        <v>1</v>
      </c>
      <c r="E584">
        <v>1</v>
      </c>
      <c r="F584">
        <v>1</v>
      </c>
      <c r="G58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84" s="1" t="s">
        <v>37</v>
      </c>
      <c r="I584" s="1" t="s">
        <v>11</v>
      </c>
      <c r="J584" s="1" t="s">
        <v>12</v>
      </c>
      <c r="K584">
        <v>1</v>
      </c>
    </row>
    <row r="585" spans="1:11" x14ac:dyDescent="0.3">
      <c r="A585" s="1" t="s">
        <v>9</v>
      </c>
      <c r="B585">
        <v>53</v>
      </c>
      <c r="C585" t="str" cm="1">
        <f t="array" ref="C585">_xlfn.IFS(
    Dataset[[#This Row],[Age]]&lt;=10, "0-10",
    AND(Dataset[[#This Row],[Age]]&gt;10, Dataset[[#This Row],[Age]]&lt;=18), "11-18",
    AND(Dataset[[#This Row],[Age]]&gt;18, Dataset[[#This Row],[Age]]&lt;=30), "19-30",
    AND(Dataset[[#This Row],[Age]]&gt;30, Dataset[[#This Row],[Age]]&lt;=60), "31-60",
    Dataset[[#This Row],[Age]]&gt;60, "above 60"
)</f>
        <v>31-60</v>
      </c>
      <c r="D585">
        <v>1</v>
      </c>
      <c r="E585">
        <v>1</v>
      </c>
      <c r="F585">
        <v>0</v>
      </c>
      <c r="G58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85" s="1" t="s">
        <v>31</v>
      </c>
      <c r="I585" s="1" t="s">
        <v>15</v>
      </c>
      <c r="J585" s="1" t="s">
        <v>12</v>
      </c>
      <c r="K585">
        <v>1</v>
      </c>
    </row>
    <row r="586" spans="1:11" x14ac:dyDescent="0.3">
      <c r="A586" s="1" t="s">
        <v>9</v>
      </c>
      <c r="B586">
        <v>37</v>
      </c>
      <c r="C586" t="str" cm="1">
        <f t="array" ref="C586">_xlfn.IFS(
    Dataset[[#This Row],[Age]]&lt;=10, "0-10",
    AND(Dataset[[#This Row],[Age]]&gt;10, Dataset[[#This Row],[Age]]&lt;=18), "11-18",
    AND(Dataset[[#This Row],[Age]]&gt;18, Dataset[[#This Row],[Age]]&lt;=30), "19-30",
    AND(Dataset[[#This Row],[Age]]&gt;30, Dataset[[#This Row],[Age]]&lt;=60), "31-60",
    Dataset[[#This Row],[Age]]&gt;60, "above 60"
)</f>
        <v>31-60</v>
      </c>
      <c r="D586">
        <v>1</v>
      </c>
      <c r="E586">
        <v>1</v>
      </c>
      <c r="F586">
        <v>0</v>
      </c>
      <c r="G58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86" s="1" t="s">
        <v>19</v>
      </c>
      <c r="I586" s="1" t="s">
        <v>11</v>
      </c>
      <c r="J586" s="1" t="s">
        <v>12</v>
      </c>
      <c r="K586">
        <v>1</v>
      </c>
    </row>
    <row r="587" spans="1:11" x14ac:dyDescent="0.3">
      <c r="A587" s="1" t="s">
        <v>13</v>
      </c>
      <c r="B587">
        <v>25</v>
      </c>
      <c r="C587" t="str" cm="1">
        <f t="array" ref="C587">_xlfn.IFS(
    Dataset[[#This Row],[Age]]&lt;=10, "0-10",
    AND(Dataset[[#This Row],[Age]]&gt;10, Dataset[[#This Row],[Age]]&lt;=18), "11-18",
    AND(Dataset[[#This Row],[Age]]&gt;18, Dataset[[#This Row],[Age]]&lt;=30), "19-30",
    AND(Dataset[[#This Row],[Age]]&gt;30, Dataset[[#This Row],[Age]]&lt;=60), "31-60",
    Dataset[[#This Row],[Age]]&gt;60, "above 60"
)</f>
        <v>19-30</v>
      </c>
      <c r="D587">
        <v>0</v>
      </c>
      <c r="E587">
        <v>0</v>
      </c>
      <c r="F587">
        <v>1</v>
      </c>
      <c r="G58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87" s="1" t="s">
        <v>50</v>
      </c>
      <c r="I587" s="1" t="s">
        <v>15</v>
      </c>
      <c r="J587" s="1" t="s">
        <v>12</v>
      </c>
      <c r="K587">
        <v>0</v>
      </c>
    </row>
    <row r="588" spans="1:11" x14ac:dyDescent="0.3">
      <c r="A588" s="1" t="s">
        <v>13</v>
      </c>
      <c r="B588">
        <v>38</v>
      </c>
      <c r="C588" t="str" cm="1">
        <f t="array" ref="C588">_xlfn.IFS(
    Dataset[[#This Row],[Age]]&lt;=10, "0-10",
    AND(Dataset[[#This Row],[Age]]&gt;10, Dataset[[#This Row],[Age]]&lt;=18), "11-18",
    AND(Dataset[[#This Row],[Age]]&gt;18, Dataset[[#This Row],[Age]]&lt;=30), "19-30",
    AND(Dataset[[#This Row],[Age]]&gt;30, Dataset[[#This Row],[Age]]&lt;=60), "31-60",
    Dataset[[#This Row],[Age]]&gt;60, "above 60"
)</f>
        <v>31-60</v>
      </c>
      <c r="D588">
        <v>1</v>
      </c>
      <c r="E588">
        <v>1</v>
      </c>
      <c r="F588">
        <v>1</v>
      </c>
      <c r="G58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88" s="1" t="s">
        <v>36</v>
      </c>
      <c r="I588" s="1" t="s">
        <v>11</v>
      </c>
      <c r="J588" s="1" t="s">
        <v>22</v>
      </c>
      <c r="K588">
        <v>1</v>
      </c>
    </row>
    <row r="589" spans="1:11" x14ac:dyDescent="0.3">
      <c r="A589" s="1" t="s">
        <v>9</v>
      </c>
      <c r="B589">
        <v>50</v>
      </c>
      <c r="C589" t="str" cm="1">
        <f t="array" ref="C589">_xlfn.IFS(
    Dataset[[#This Row],[Age]]&lt;=10, "0-10",
    AND(Dataset[[#This Row],[Age]]&gt;10, Dataset[[#This Row],[Age]]&lt;=18), "11-18",
    AND(Dataset[[#This Row],[Age]]&gt;18, Dataset[[#This Row],[Age]]&lt;=30), "19-30",
    AND(Dataset[[#This Row],[Age]]&gt;30, Dataset[[#This Row],[Age]]&lt;=60), "31-60",
    Dataset[[#This Row],[Age]]&gt;60, "above 60"
)</f>
        <v>31-60</v>
      </c>
      <c r="D589">
        <v>1</v>
      </c>
      <c r="E589">
        <v>1</v>
      </c>
      <c r="F589">
        <v>0</v>
      </c>
      <c r="G58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89" s="1" t="s">
        <v>50</v>
      </c>
      <c r="I589" s="1" t="s">
        <v>15</v>
      </c>
      <c r="J589" s="1" t="s">
        <v>17</v>
      </c>
      <c r="K589">
        <v>1</v>
      </c>
    </row>
    <row r="590" spans="1:11" x14ac:dyDescent="0.3">
      <c r="A590" s="1" t="s">
        <v>13</v>
      </c>
      <c r="B590">
        <v>30</v>
      </c>
      <c r="C590" t="str" cm="1">
        <f t="array" ref="C590">_xlfn.IFS(
    Dataset[[#This Row],[Age]]&lt;=10, "0-10",
    AND(Dataset[[#This Row],[Age]]&gt;10, Dataset[[#This Row],[Age]]&lt;=18), "11-18",
    AND(Dataset[[#This Row],[Age]]&gt;18, Dataset[[#This Row],[Age]]&lt;=30), "19-30",
    AND(Dataset[[#This Row],[Age]]&gt;30, Dataset[[#This Row],[Age]]&lt;=60), "31-60",
    Dataset[[#This Row],[Age]]&gt;60, "above 60"
)</f>
        <v>19-30</v>
      </c>
      <c r="D590">
        <v>1</v>
      </c>
      <c r="E590">
        <v>1</v>
      </c>
      <c r="F590">
        <v>1</v>
      </c>
      <c r="G59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90" s="1" t="s">
        <v>46</v>
      </c>
      <c r="I590" s="1" t="s">
        <v>11</v>
      </c>
      <c r="J590" s="1" t="s">
        <v>12</v>
      </c>
      <c r="K590">
        <v>1</v>
      </c>
    </row>
    <row r="591" spans="1:11" x14ac:dyDescent="0.3">
      <c r="A591" s="1" t="s">
        <v>9</v>
      </c>
      <c r="B591">
        <v>20</v>
      </c>
      <c r="C591" t="str" cm="1">
        <f t="array" ref="C591">_xlfn.IFS(
    Dataset[[#This Row],[Age]]&lt;=10, "0-10",
    AND(Dataset[[#This Row],[Age]]&gt;10, Dataset[[#This Row],[Age]]&lt;=18), "11-18",
    AND(Dataset[[#This Row],[Age]]&gt;18, Dataset[[#This Row],[Age]]&lt;=30), "19-30",
    AND(Dataset[[#This Row],[Age]]&gt;30, Dataset[[#This Row],[Age]]&lt;=60), "31-60",
    Dataset[[#This Row],[Age]]&gt;60, "above 60"
)</f>
        <v>19-30</v>
      </c>
      <c r="D591">
        <v>0</v>
      </c>
      <c r="E591">
        <v>0</v>
      </c>
      <c r="F591">
        <v>0</v>
      </c>
      <c r="G59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91" s="1" t="s">
        <v>14</v>
      </c>
      <c r="I591" s="1" t="s">
        <v>15</v>
      </c>
      <c r="J591" s="1" t="s">
        <v>12</v>
      </c>
      <c r="K591">
        <v>0</v>
      </c>
    </row>
    <row r="592" spans="1:11" x14ac:dyDescent="0.3">
      <c r="A592" s="1" t="s">
        <v>13</v>
      </c>
      <c r="B592">
        <v>44</v>
      </c>
      <c r="C592" t="str" cm="1">
        <f t="array" ref="C592">_xlfn.IFS(
    Dataset[[#This Row],[Age]]&lt;=10, "0-10",
    AND(Dataset[[#This Row],[Age]]&gt;10, Dataset[[#This Row],[Age]]&lt;=18), "11-18",
    AND(Dataset[[#This Row],[Age]]&gt;18, Dataset[[#This Row],[Age]]&lt;=30), "19-30",
    AND(Dataset[[#This Row],[Age]]&gt;30, Dataset[[#This Row],[Age]]&lt;=60), "31-60",
    Dataset[[#This Row],[Age]]&gt;60, "above 60"
)</f>
        <v>31-60</v>
      </c>
      <c r="D592">
        <v>1</v>
      </c>
      <c r="E592">
        <v>1</v>
      </c>
      <c r="F592">
        <v>0</v>
      </c>
      <c r="G59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92" s="1" t="s">
        <v>29</v>
      </c>
      <c r="I592" s="1" t="s">
        <v>11</v>
      </c>
      <c r="J592" s="1" t="s">
        <v>17</v>
      </c>
      <c r="K592">
        <v>1</v>
      </c>
    </row>
    <row r="593" spans="1:11" x14ac:dyDescent="0.3">
      <c r="A593" s="1" t="s">
        <v>9</v>
      </c>
      <c r="B593">
        <v>57</v>
      </c>
      <c r="C593" t="str" cm="1">
        <f t="array" ref="C593">_xlfn.IFS(
    Dataset[[#This Row],[Age]]&lt;=10, "0-10",
    AND(Dataset[[#This Row],[Age]]&gt;10, Dataset[[#This Row],[Age]]&lt;=18), "11-18",
    AND(Dataset[[#This Row],[Age]]&gt;18, Dataset[[#This Row],[Age]]&lt;=30), "19-30",
    AND(Dataset[[#This Row],[Age]]&gt;30, Dataset[[#This Row],[Age]]&lt;=60), "31-60",
    Dataset[[#This Row],[Age]]&gt;60, "above 60"
)</f>
        <v>31-60</v>
      </c>
      <c r="D593">
        <v>0</v>
      </c>
      <c r="E593">
        <v>0</v>
      </c>
      <c r="F593">
        <v>1</v>
      </c>
      <c r="G59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93" s="1" t="s">
        <v>42</v>
      </c>
      <c r="I593" s="1" t="s">
        <v>15</v>
      </c>
      <c r="J593" s="1" t="s">
        <v>12</v>
      </c>
      <c r="K593">
        <v>0</v>
      </c>
    </row>
    <row r="594" spans="1:11" x14ac:dyDescent="0.3">
      <c r="A594" s="1" t="s">
        <v>13</v>
      </c>
      <c r="B594">
        <v>19</v>
      </c>
      <c r="C594" t="str" cm="1">
        <f t="array" ref="C594">_xlfn.IFS(
    Dataset[[#This Row],[Age]]&lt;=10, "0-10",
    AND(Dataset[[#This Row],[Age]]&gt;10, Dataset[[#This Row],[Age]]&lt;=18), "11-18",
    AND(Dataset[[#This Row],[Age]]&gt;18, Dataset[[#This Row],[Age]]&lt;=30), "19-30",
    AND(Dataset[[#This Row],[Age]]&gt;30, Dataset[[#This Row],[Age]]&lt;=60), "31-60",
    Dataset[[#This Row],[Age]]&gt;60, "above 60"
)</f>
        <v>19-30</v>
      </c>
      <c r="D594">
        <v>1</v>
      </c>
      <c r="E594">
        <v>1</v>
      </c>
      <c r="F594">
        <v>1</v>
      </c>
      <c r="G59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94" s="1" t="s">
        <v>32</v>
      </c>
      <c r="I594" s="1" t="s">
        <v>11</v>
      </c>
      <c r="J594" s="1" t="s">
        <v>17</v>
      </c>
      <c r="K594">
        <v>1</v>
      </c>
    </row>
    <row r="595" spans="1:11" x14ac:dyDescent="0.3">
      <c r="A595" s="1" t="s">
        <v>9</v>
      </c>
      <c r="B595">
        <v>34</v>
      </c>
      <c r="C595" t="str" cm="1">
        <f t="array" ref="C595">_xlfn.IFS(
    Dataset[[#This Row],[Age]]&lt;=10, "0-10",
    AND(Dataset[[#This Row],[Age]]&gt;10, Dataset[[#This Row],[Age]]&lt;=18), "11-18",
    AND(Dataset[[#This Row],[Age]]&gt;18, Dataset[[#This Row],[Age]]&lt;=30), "19-30",
    AND(Dataset[[#This Row],[Age]]&gt;30, Dataset[[#This Row],[Age]]&lt;=60), "31-60",
    Dataset[[#This Row],[Age]]&gt;60, "above 60"
)</f>
        <v>31-60</v>
      </c>
      <c r="D595">
        <v>0</v>
      </c>
      <c r="E595">
        <v>0</v>
      </c>
      <c r="F595">
        <v>0</v>
      </c>
      <c r="G59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95" s="1" t="s">
        <v>40</v>
      </c>
      <c r="I595" s="1" t="s">
        <v>15</v>
      </c>
      <c r="J595" s="1" t="s">
        <v>17</v>
      </c>
      <c r="K595">
        <v>0</v>
      </c>
    </row>
    <row r="596" spans="1:11" x14ac:dyDescent="0.3">
      <c r="A596" s="1" t="s">
        <v>9</v>
      </c>
      <c r="B596">
        <v>42</v>
      </c>
      <c r="C596" t="str" cm="1">
        <f t="array" ref="C596">_xlfn.IFS(
    Dataset[[#This Row],[Age]]&lt;=10, "0-10",
    AND(Dataset[[#This Row],[Age]]&gt;10, Dataset[[#This Row],[Age]]&lt;=18), "11-18",
    AND(Dataset[[#This Row],[Age]]&gt;18, Dataset[[#This Row],[Age]]&lt;=30), "19-30",
    AND(Dataset[[#This Row],[Age]]&gt;30, Dataset[[#This Row],[Age]]&lt;=60), "31-60",
    Dataset[[#This Row],[Age]]&gt;60, "above 60"
)</f>
        <v>31-60</v>
      </c>
      <c r="D596">
        <v>1</v>
      </c>
      <c r="E596">
        <v>1</v>
      </c>
      <c r="F596">
        <v>1</v>
      </c>
      <c r="G59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96" s="1" t="s">
        <v>28</v>
      </c>
      <c r="I596" s="1" t="s">
        <v>11</v>
      </c>
      <c r="J596" s="1" t="s">
        <v>17</v>
      </c>
      <c r="K596">
        <v>1</v>
      </c>
    </row>
    <row r="597" spans="1:11" x14ac:dyDescent="0.3">
      <c r="A597" s="1" t="s">
        <v>9</v>
      </c>
      <c r="B597">
        <v>48</v>
      </c>
      <c r="C597" t="str" cm="1">
        <f t="array" ref="C597">_xlfn.IFS(
    Dataset[[#This Row],[Age]]&lt;=10, "0-10",
    AND(Dataset[[#This Row],[Age]]&gt;10, Dataset[[#This Row],[Age]]&lt;=18), "11-18",
    AND(Dataset[[#This Row],[Age]]&gt;18, Dataset[[#This Row],[Age]]&lt;=30), "19-30",
    AND(Dataset[[#This Row],[Age]]&gt;30, Dataset[[#This Row],[Age]]&lt;=60), "31-60",
    Dataset[[#This Row],[Age]]&gt;60, "above 60"
)</f>
        <v>31-60</v>
      </c>
      <c r="D597">
        <v>1</v>
      </c>
      <c r="E597">
        <v>1</v>
      </c>
      <c r="F597">
        <v>1</v>
      </c>
      <c r="G59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97" s="1" t="s">
        <v>47</v>
      </c>
      <c r="I597" s="1" t="s">
        <v>15</v>
      </c>
      <c r="J597" s="1" t="s">
        <v>17</v>
      </c>
      <c r="K597">
        <v>1</v>
      </c>
    </row>
    <row r="598" spans="1:11" x14ac:dyDescent="0.3">
      <c r="A598" s="1" t="s">
        <v>13</v>
      </c>
      <c r="B598">
        <v>45</v>
      </c>
      <c r="C598" t="str" cm="1">
        <f t="array" ref="C598">_xlfn.IFS(
    Dataset[[#This Row],[Age]]&lt;=10, "0-10",
    AND(Dataset[[#This Row],[Age]]&gt;10, Dataset[[#This Row],[Age]]&lt;=18), "11-18",
    AND(Dataset[[#This Row],[Age]]&gt;18, Dataset[[#This Row],[Age]]&lt;=30), "19-30",
    AND(Dataset[[#This Row],[Age]]&gt;30, Dataset[[#This Row],[Age]]&lt;=60), "31-60",
    Dataset[[#This Row],[Age]]&gt;60, "above 60"
)</f>
        <v>31-60</v>
      </c>
      <c r="D598">
        <v>1</v>
      </c>
      <c r="E598">
        <v>1</v>
      </c>
      <c r="F598">
        <v>1</v>
      </c>
      <c r="G59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598" s="1" t="s">
        <v>26</v>
      </c>
      <c r="I598" s="1" t="s">
        <v>11</v>
      </c>
      <c r="J598" s="1" t="s">
        <v>12</v>
      </c>
      <c r="K598">
        <v>1</v>
      </c>
    </row>
    <row r="599" spans="1:11" x14ac:dyDescent="0.3">
      <c r="A599" s="1" t="s">
        <v>9</v>
      </c>
      <c r="B599">
        <v>48</v>
      </c>
      <c r="C599" t="str" cm="1">
        <f t="array" ref="C599">_xlfn.IFS(
    Dataset[[#This Row],[Age]]&lt;=10, "0-10",
    AND(Dataset[[#This Row],[Age]]&gt;10, Dataset[[#This Row],[Age]]&lt;=18), "11-18",
    AND(Dataset[[#This Row],[Age]]&gt;18, Dataset[[#This Row],[Age]]&lt;=30), "19-30",
    AND(Dataset[[#This Row],[Age]]&gt;30, Dataset[[#This Row],[Age]]&lt;=60), "31-60",
    Dataset[[#This Row],[Age]]&gt;60, "above 60"
)</f>
        <v>31-60</v>
      </c>
      <c r="D599">
        <v>0</v>
      </c>
      <c r="E599">
        <v>0</v>
      </c>
      <c r="F599">
        <v>1</v>
      </c>
      <c r="G59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599" s="1" t="s">
        <v>43</v>
      </c>
      <c r="I599" s="1" t="s">
        <v>15</v>
      </c>
      <c r="J599" s="1" t="s">
        <v>22</v>
      </c>
      <c r="K599">
        <v>0</v>
      </c>
    </row>
    <row r="600" spans="1:11" x14ac:dyDescent="0.3">
      <c r="A600" s="1" t="s">
        <v>9</v>
      </c>
      <c r="B600">
        <v>50</v>
      </c>
      <c r="C600" t="str" cm="1">
        <f t="array" ref="C600">_xlfn.IFS(
    Dataset[[#This Row],[Age]]&lt;=10, "0-10",
    AND(Dataset[[#This Row],[Age]]&gt;10, Dataset[[#This Row],[Age]]&lt;=18), "11-18",
    AND(Dataset[[#This Row],[Age]]&gt;18, Dataset[[#This Row],[Age]]&lt;=30), "19-30",
    AND(Dataset[[#This Row],[Age]]&gt;30, Dataset[[#This Row],[Age]]&lt;=60), "31-60",
    Dataset[[#This Row],[Age]]&gt;60, "above 60"
)</f>
        <v>31-60</v>
      </c>
      <c r="D600">
        <v>1</v>
      </c>
      <c r="E600">
        <v>1</v>
      </c>
      <c r="F600">
        <v>0</v>
      </c>
      <c r="G60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00" s="1" t="s">
        <v>21</v>
      </c>
      <c r="I600" s="1" t="s">
        <v>11</v>
      </c>
      <c r="J600" s="1" t="s">
        <v>17</v>
      </c>
      <c r="K600">
        <v>1</v>
      </c>
    </row>
    <row r="601" spans="1:11" x14ac:dyDescent="0.3">
      <c r="A601" s="1" t="s">
        <v>9</v>
      </c>
      <c r="B601">
        <v>37</v>
      </c>
      <c r="C601" t="str" cm="1">
        <f t="array" ref="C601">_xlfn.IFS(
    Dataset[[#This Row],[Age]]&lt;=10, "0-10",
    AND(Dataset[[#This Row],[Age]]&gt;10, Dataset[[#This Row],[Age]]&lt;=18), "11-18",
    AND(Dataset[[#This Row],[Age]]&gt;18, Dataset[[#This Row],[Age]]&lt;=30), "19-30",
    AND(Dataset[[#This Row],[Age]]&gt;30, Dataset[[#This Row],[Age]]&lt;=60), "31-60",
    Dataset[[#This Row],[Age]]&gt;60, "above 60"
)</f>
        <v>31-60</v>
      </c>
      <c r="D601">
        <v>0</v>
      </c>
      <c r="E601">
        <v>0</v>
      </c>
      <c r="F601">
        <v>1</v>
      </c>
      <c r="G60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01" s="1" t="s">
        <v>23</v>
      </c>
      <c r="I601" s="1" t="s">
        <v>15</v>
      </c>
      <c r="J601" s="1" t="s">
        <v>12</v>
      </c>
      <c r="K601">
        <v>0</v>
      </c>
    </row>
    <row r="602" spans="1:11" x14ac:dyDescent="0.3">
      <c r="A602" s="1" t="s">
        <v>9</v>
      </c>
      <c r="B602">
        <v>28</v>
      </c>
      <c r="C602" t="str" cm="1">
        <f t="array" ref="C602">_xlfn.IFS(
    Dataset[[#This Row],[Age]]&lt;=10, "0-10",
    AND(Dataset[[#This Row],[Age]]&gt;10, Dataset[[#This Row],[Age]]&lt;=18), "11-18",
    AND(Dataset[[#This Row],[Age]]&gt;18, Dataset[[#This Row],[Age]]&lt;=30), "19-30",
    AND(Dataset[[#This Row],[Age]]&gt;30, Dataset[[#This Row],[Age]]&lt;=60), "31-60",
    Dataset[[#This Row],[Age]]&gt;60, "above 60"
)</f>
        <v>19-30</v>
      </c>
      <c r="D602">
        <v>1</v>
      </c>
      <c r="E602">
        <v>1</v>
      </c>
      <c r="F602">
        <v>0</v>
      </c>
      <c r="G60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02" s="1" t="s">
        <v>35</v>
      </c>
      <c r="I602" s="1" t="s">
        <v>11</v>
      </c>
      <c r="J602" s="1" t="s">
        <v>22</v>
      </c>
      <c r="K602">
        <v>1</v>
      </c>
    </row>
    <row r="603" spans="1:11" x14ac:dyDescent="0.3">
      <c r="A603" s="1" t="s">
        <v>13</v>
      </c>
      <c r="B603">
        <v>51</v>
      </c>
      <c r="C603" t="str" cm="1">
        <f t="array" ref="C603">_xlfn.IFS(
    Dataset[[#This Row],[Age]]&lt;=10, "0-10",
    AND(Dataset[[#This Row],[Age]]&gt;10, Dataset[[#This Row],[Age]]&lt;=18), "11-18",
    AND(Dataset[[#This Row],[Age]]&gt;18, Dataset[[#This Row],[Age]]&lt;=30), "19-30",
    AND(Dataset[[#This Row],[Age]]&gt;30, Dataset[[#This Row],[Age]]&lt;=60), "31-60",
    Dataset[[#This Row],[Age]]&gt;60, "above 60"
)</f>
        <v>31-60</v>
      </c>
      <c r="D603">
        <v>1</v>
      </c>
      <c r="E603">
        <v>1</v>
      </c>
      <c r="F603">
        <v>1</v>
      </c>
      <c r="G60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03" s="1" t="s">
        <v>38</v>
      </c>
      <c r="I603" s="1" t="s">
        <v>15</v>
      </c>
      <c r="J603" s="1" t="s">
        <v>17</v>
      </c>
      <c r="K603">
        <v>1</v>
      </c>
    </row>
    <row r="604" spans="1:11" x14ac:dyDescent="0.3">
      <c r="A604" s="1" t="s">
        <v>9</v>
      </c>
      <c r="B604">
        <v>37</v>
      </c>
      <c r="C604" t="str" cm="1">
        <f t="array" ref="C604">_xlfn.IFS(
    Dataset[[#This Row],[Age]]&lt;=10, "0-10",
    AND(Dataset[[#This Row],[Age]]&gt;10, Dataset[[#This Row],[Age]]&lt;=18), "11-18",
    AND(Dataset[[#This Row],[Age]]&gt;18, Dataset[[#This Row],[Age]]&lt;=30), "19-30",
    AND(Dataset[[#This Row],[Age]]&gt;30, Dataset[[#This Row],[Age]]&lt;=60), "31-60",
    Dataset[[#This Row],[Age]]&gt;60, "above 60"
)</f>
        <v>31-60</v>
      </c>
      <c r="D604">
        <v>1</v>
      </c>
      <c r="E604">
        <v>1</v>
      </c>
      <c r="F604">
        <v>1</v>
      </c>
      <c r="G60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04" s="1" t="s">
        <v>31</v>
      </c>
      <c r="I604" s="1" t="s">
        <v>11</v>
      </c>
      <c r="J604" s="1" t="s">
        <v>12</v>
      </c>
      <c r="K604">
        <v>1</v>
      </c>
    </row>
    <row r="605" spans="1:11" x14ac:dyDescent="0.3">
      <c r="A605" s="1" t="s">
        <v>9</v>
      </c>
      <c r="B605">
        <v>12</v>
      </c>
      <c r="C605" t="str" cm="1">
        <f t="array" ref="C605">_xlfn.IFS(
    Dataset[[#This Row],[Age]]&lt;=10, "0-10",
    AND(Dataset[[#This Row],[Age]]&gt;10, Dataset[[#This Row],[Age]]&lt;=18), "11-18",
    AND(Dataset[[#This Row],[Age]]&gt;18, Dataset[[#This Row],[Age]]&lt;=30), "19-30",
    AND(Dataset[[#This Row],[Age]]&gt;30, Dataset[[#This Row],[Age]]&lt;=60), "31-60",
    Dataset[[#This Row],[Age]]&gt;60, "above 60"
)</f>
        <v>11-18</v>
      </c>
      <c r="D605">
        <v>0</v>
      </c>
      <c r="E605">
        <v>0</v>
      </c>
      <c r="F605">
        <v>1</v>
      </c>
      <c r="G60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05" s="1" t="s">
        <v>24</v>
      </c>
      <c r="I605" s="1" t="s">
        <v>15</v>
      </c>
      <c r="J605" s="1" t="s">
        <v>12</v>
      </c>
      <c r="K605">
        <v>0</v>
      </c>
    </row>
    <row r="606" spans="1:11" x14ac:dyDescent="0.3">
      <c r="A606" s="1" t="s">
        <v>13</v>
      </c>
      <c r="B606">
        <v>65</v>
      </c>
      <c r="C606" t="str" cm="1">
        <f t="array" ref="C606">_xlfn.IFS(
    Dataset[[#This Row],[Age]]&lt;=10, "0-10",
    AND(Dataset[[#This Row],[Age]]&gt;10, Dataset[[#This Row],[Age]]&lt;=18), "11-18",
    AND(Dataset[[#This Row],[Age]]&gt;18, Dataset[[#This Row],[Age]]&lt;=30), "19-30",
    AND(Dataset[[#This Row],[Age]]&gt;30, Dataset[[#This Row],[Age]]&lt;=60), "31-60",
    Dataset[[#This Row],[Age]]&gt;60, "above 60"
)</f>
        <v>above 60</v>
      </c>
      <c r="D606">
        <v>1</v>
      </c>
      <c r="E606">
        <v>1</v>
      </c>
      <c r="F606">
        <v>0</v>
      </c>
      <c r="G60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06" s="1" t="s">
        <v>31</v>
      </c>
      <c r="I606" s="1" t="s">
        <v>11</v>
      </c>
      <c r="J606" s="1" t="s">
        <v>17</v>
      </c>
      <c r="K606">
        <v>1</v>
      </c>
    </row>
    <row r="607" spans="1:11" x14ac:dyDescent="0.3">
      <c r="A607" s="1" t="s">
        <v>9</v>
      </c>
      <c r="B607">
        <v>44</v>
      </c>
      <c r="C607" t="str" cm="1">
        <f t="array" ref="C607">_xlfn.IFS(
    Dataset[[#This Row],[Age]]&lt;=10, "0-10",
    AND(Dataset[[#This Row],[Age]]&gt;10, Dataset[[#This Row],[Age]]&lt;=18), "11-18",
    AND(Dataset[[#This Row],[Age]]&gt;18, Dataset[[#This Row],[Age]]&lt;=30), "19-30",
    AND(Dataset[[#This Row],[Age]]&gt;30, Dataset[[#This Row],[Age]]&lt;=60), "31-60",
    Dataset[[#This Row],[Age]]&gt;60, "above 60"
)</f>
        <v>31-60</v>
      </c>
      <c r="D607">
        <v>1</v>
      </c>
      <c r="E607">
        <v>1</v>
      </c>
      <c r="F607">
        <v>0</v>
      </c>
      <c r="G60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07" s="1" t="s">
        <v>25</v>
      </c>
      <c r="I607" s="1" t="s">
        <v>15</v>
      </c>
      <c r="J607" s="1" t="s">
        <v>12</v>
      </c>
      <c r="K607">
        <v>1</v>
      </c>
    </row>
    <row r="608" spans="1:11" x14ac:dyDescent="0.3">
      <c r="A608" s="1" t="s">
        <v>13</v>
      </c>
      <c r="B608">
        <v>52</v>
      </c>
      <c r="C608" t="str" cm="1">
        <f t="array" ref="C608">_xlfn.IFS(
    Dataset[[#This Row],[Age]]&lt;=10, "0-10",
    AND(Dataset[[#This Row],[Age]]&gt;10, Dataset[[#This Row],[Age]]&lt;=18), "11-18",
    AND(Dataset[[#This Row],[Age]]&gt;18, Dataset[[#This Row],[Age]]&lt;=30), "19-30",
    AND(Dataset[[#This Row],[Age]]&gt;30, Dataset[[#This Row],[Age]]&lt;=60), "31-60",
    Dataset[[#This Row],[Age]]&gt;60, "above 60"
)</f>
        <v>31-60</v>
      </c>
      <c r="D608">
        <v>1</v>
      </c>
      <c r="E608">
        <v>1</v>
      </c>
      <c r="F608">
        <v>0</v>
      </c>
      <c r="G60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08" s="1" t="s">
        <v>21</v>
      </c>
      <c r="I608" s="1" t="s">
        <v>11</v>
      </c>
      <c r="J608" s="1" t="s">
        <v>12</v>
      </c>
      <c r="K608">
        <v>1</v>
      </c>
    </row>
    <row r="609" spans="1:11" x14ac:dyDescent="0.3">
      <c r="A609" s="1" t="s">
        <v>9</v>
      </c>
      <c r="B609">
        <v>10</v>
      </c>
      <c r="C609" t="str" cm="1">
        <f t="array" ref="C609">_xlfn.IFS(
    Dataset[[#This Row],[Age]]&lt;=10, "0-10",
    AND(Dataset[[#This Row],[Age]]&gt;10, Dataset[[#This Row],[Age]]&lt;=18), "11-18",
    AND(Dataset[[#This Row],[Age]]&gt;18, Dataset[[#This Row],[Age]]&lt;=30), "19-30",
    AND(Dataset[[#This Row],[Age]]&gt;30, Dataset[[#This Row],[Age]]&lt;=60), "31-60",
    Dataset[[#This Row],[Age]]&gt;60, "above 60"
)</f>
        <v>0-10</v>
      </c>
      <c r="D609">
        <v>1</v>
      </c>
      <c r="E609">
        <v>1</v>
      </c>
      <c r="F609">
        <v>1</v>
      </c>
      <c r="G60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09" s="1" t="s">
        <v>42</v>
      </c>
      <c r="I609" s="1" t="s">
        <v>15</v>
      </c>
      <c r="J609" s="1" t="s">
        <v>22</v>
      </c>
      <c r="K609">
        <v>1</v>
      </c>
    </row>
    <row r="610" spans="1:11" x14ac:dyDescent="0.3">
      <c r="A610" s="1" t="s">
        <v>13</v>
      </c>
      <c r="B610">
        <v>16</v>
      </c>
      <c r="C610" t="str" cm="1">
        <f t="array" ref="C610">_xlfn.IFS(
    Dataset[[#This Row],[Age]]&lt;=10, "0-10",
    AND(Dataset[[#This Row],[Age]]&gt;10, Dataset[[#This Row],[Age]]&lt;=18), "11-18",
    AND(Dataset[[#This Row],[Age]]&gt;18, Dataset[[#This Row],[Age]]&lt;=30), "19-30",
    AND(Dataset[[#This Row],[Age]]&gt;30, Dataset[[#This Row],[Age]]&lt;=60), "31-60",
    Dataset[[#This Row],[Age]]&gt;60, "above 60"
)</f>
        <v>11-18</v>
      </c>
      <c r="D610">
        <v>1</v>
      </c>
      <c r="E610">
        <v>1</v>
      </c>
      <c r="F610">
        <v>0</v>
      </c>
      <c r="G61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10" s="1" t="s">
        <v>38</v>
      </c>
      <c r="I610" s="1" t="s">
        <v>11</v>
      </c>
      <c r="J610" s="1" t="s">
        <v>12</v>
      </c>
      <c r="K610">
        <v>1</v>
      </c>
    </row>
    <row r="611" spans="1:11" x14ac:dyDescent="0.3">
      <c r="A611" s="1" t="s">
        <v>9</v>
      </c>
      <c r="B611">
        <v>17</v>
      </c>
      <c r="C611" t="str" cm="1">
        <f t="array" ref="C611">_xlfn.IFS(
    Dataset[[#This Row],[Age]]&lt;=10, "0-10",
    AND(Dataset[[#This Row],[Age]]&gt;10, Dataset[[#This Row],[Age]]&lt;=18), "11-18",
    AND(Dataset[[#This Row],[Age]]&gt;18, Dataset[[#This Row],[Age]]&lt;=30), "19-30",
    AND(Dataset[[#This Row],[Age]]&gt;30, Dataset[[#This Row],[Age]]&lt;=60), "31-60",
    Dataset[[#This Row],[Age]]&gt;60, "above 60"
)</f>
        <v>11-18</v>
      </c>
      <c r="D611">
        <v>1</v>
      </c>
      <c r="E611">
        <v>1</v>
      </c>
      <c r="F611">
        <v>0</v>
      </c>
      <c r="G61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11" s="1" t="s">
        <v>36</v>
      </c>
      <c r="I611" s="1" t="s">
        <v>15</v>
      </c>
      <c r="J611" s="1" t="s">
        <v>17</v>
      </c>
      <c r="K611">
        <v>1</v>
      </c>
    </row>
    <row r="612" spans="1:11" x14ac:dyDescent="0.3">
      <c r="A612" s="1" t="s">
        <v>9</v>
      </c>
      <c r="B612">
        <v>63</v>
      </c>
      <c r="C612" t="str" cm="1">
        <f t="array" ref="C612">_xlfn.IFS(
    Dataset[[#This Row],[Age]]&lt;=10, "0-10",
    AND(Dataset[[#This Row],[Age]]&gt;10, Dataset[[#This Row],[Age]]&lt;=18), "11-18",
    AND(Dataset[[#This Row],[Age]]&gt;18, Dataset[[#This Row],[Age]]&lt;=30), "19-30",
    AND(Dataset[[#This Row],[Age]]&gt;30, Dataset[[#This Row],[Age]]&lt;=60), "31-60",
    Dataset[[#This Row],[Age]]&gt;60, "above 60"
)</f>
        <v>above 60</v>
      </c>
      <c r="D612">
        <v>0</v>
      </c>
      <c r="E612">
        <v>0</v>
      </c>
      <c r="F612">
        <v>1</v>
      </c>
      <c r="G61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12" s="1" t="s">
        <v>41</v>
      </c>
      <c r="I612" s="1" t="s">
        <v>11</v>
      </c>
      <c r="J612" s="1" t="s">
        <v>17</v>
      </c>
      <c r="K612">
        <v>0</v>
      </c>
    </row>
    <row r="613" spans="1:11" x14ac:dyDescent="0.3">
      <c r="A613" s="1" t="s">
        <v>9</v>
      </c>
      <c r="B613">
        <v>29</v>
      </c>
      <c r="C613" t="str" cm="1">
        <f t="array" ref="C613">_xlfn.IFS(
    Dataset[[#This Row],[Age]]&lt;=10, "0-10",
    AND(Dataset[[#This Row],[Age]]&gt;10, Dataset[[#This Row],[Age]]&lt;=18), "11-18",
    AND(Dataset[[#This Row],[Age]]&gt;18, Dataset[[#This Row],[Age]]&lt;=30), "19-30",
    AND(Dataset[[#This Row],[Age]]&gt;30, Dataset[[#This Row],[Age]]&lt;=60), "31-60",
    Dataset[[#This Row],[Age]]&gt;60, "above 60"
)</f>
        <v>19-30</v>
      </c>
      <c r="D613">
        <v>1</v>
      </c>
      <c r="E613">
        <v>1</v>
      </c>
      <c r="F613">
        <v>1</v>
      </c>
      <c r="G61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13" s="1" t="s">
        <v>10</v>
      </c>
      <c r="I613" s="1" t="s">
        <v>15</v>
      </c>
      <c r="J613" s="1" t="s">
        <v>17</v>
      </c>
      <c r="K613">
        <v>1</v>
      </c>
    </row>
    <row r="614" spans="1:11" x14ac:dyDescent="0.3">
      <c r="A614" s="1" t="s">
        <v>13</v>
      </c>
      <c r="B614">
        <v>62</v>
      </c>
      <c r="C614" t="str" cm="1">
        <f t="array" ref="C614">_xlfn.IFS(
    Dataset[[#This Row],[Age]]&lt;=10, "0-10",
    AND(Dataset[[#This Row],[Age]]&gt;10, Dataset[[#This Row],[Age]]&lt;=18), "11-18",
    AND(Dataset[[#This Row],[Age]]&gt;18, Dataset[[#This Row],[Age]]&lt;=30), "19-30",
    AND(Dataset[[#This Row],[Age]]&gt;30, Dataset[[#This Row],[Age]]&lt;=60), "31-60",
    Dataset[[#This Row],[Age]]&gt;60, "above 60"
)</f>
        <v>above 60</v>
      </c>
      <c r="D614">
        <v>0</v>
      </c>
      <c r="E614">
        <v>0</v>
      </c>
      <c r="F614">
        <v>1</v>
      </c>
      <c r="G61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14" s="1" t="s">
        <v>35</v>
      </c>
      <c r="I614" s="1" t="s">
        <v>11</v>
      </c>
      <c r="J614" s="1" t="s">
        <v>12</v>
      </c>
      <c r="K614">
        <v>0</v>
      </c>
    </row>
    <row r="615" spans="1:11" x14ac:dyDescent="0.3">
      <c r="A615" s="1" t="s">
        <v>9</v>
      </c>
      <c r="B615">
        <v>16</v>
      </c>
      <c r="C615" t="str" cm="1">
        <f t="array" ref="C615">_xlfn.IFS(
    Dataset[[#This Row],[Age]]&lt;=10, "0-10",
    AND(Dataset[[#This Row],[Age]]&gt;10, Dataset[[#This Row],[Age]]&lt;=18), "11-18",
    AND(Dataset[[#This Row],[Age]]&gt;18, Dataset[[#This Row],[Age]]&lt;=30), "19-30",
    AND(Dataset[[#This Row],[Age]]&gt;30, Dataset[[#This Row],[Age]]&lt;=60), "31-60",
    Dataset[[#This Row],[Age]]&gt;60, "above 60"
)</f>
        <v>11-18</v>
      </c>
      <c r="D615">
        <v>0</v>
      </c>
      <c r="E615">
        <v>0</v>
      </c>
      <c r="F615">
        <v>0</v>
      </c>
      <c r="G61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15" s="1" t="s">
        <v>23</v>
      </c>
      <c r="I615" s="1" t="s">
        <v>15</v>
      </c>
      <c r="J615" s="1" t="s">
        <v>22</v>
      </c>
      <c r="K615">
        <v>0</v>
      </c>
    </row>
    <row r="616" spans="1:11" x14ac:dyDescent="0.3">
      <c r="A616" s="1" t="s">
        <v>13</v>
      </c>
      <c r="B616">
        <v>8</v>
      </c>
      <c r="C616" t="str" cm="1">
        <f t="array" ref="C616">_xlfn.IFS(
    Dataset[[#This Row],[Age]]&lt;=10, "0-10",
    AND(Dataset[[#This Row],[Age]]&gt;10, Dataset[[#This Row],[Age]]&lt;=18), "11-18",
    AND(Dataset[[#This Row],[Age]]&gt;18, Dataset[[#This Row],[Age]]&lt;=30), "19-30",
    AND(Dataset[[#This Row],[Age]]&gt;30, Dataset[[#This Row],[Age]]&lt;=60), "31-60",
    Dataset[[#This Row],[Age]]&gt;60, "above 60"
)</f>
        <v>0-10</v>
      </c>
      <c r="D616">
        <v>0</v>
      </c>
      <c r="E616">
        <v>0</v>
      </c>
      <c r="F616">
        <v>0</v>
      </c>
      <c r="G61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16" s="1" t="s">
        <v>19</v>
      </c>
      <c r="I616" s="1" t="s">
        <v>11</v>
      </c>
      <c r="J616" s="1" t="s">
        <v>12</v>
      </c>
      <c r="K616">
        <v>0</v>
      </c>
    </row>
    <row r="617" spans="1:11" x14ac:dyDescent="0.3">
      <c r="A617" s="1" t="s">
        <v>9</v>
      </c>
      <c r="B617">
        <v>10</v>
      </c>
      <c r="C617" t="str" cm="1">
        <f t="array" ref="C617">_xlfn.IFS(
    Dataset[[#This Row],[Age]]&lt;=10, "0-10",
    AND(Dataset[[#This Row],[Age]]&gt;10, Dataset[[#This Row],[Age]]&lt;=18), "11-18",
    AND(Dataset[[#This Row],[Age]]&gt;18, Dataset[[#This Row],[Age]]&lt;=30), "19-30",
    AND(Dataset[[#This Row],[Age]]&gt;30, Dataset[[#This Row],[Age]]&lt;=60), "31-60",
    Dataset[[#This Row],[Age]]&gt;60, "above 60"
)</f>
        <v>0-10</v>
      </c>
      <c r="D617">
        <v>1</v>
      </c>
      <c r="E617">
        <v>1</v>
      </c>
      <c r="F617">
        <v>0</v>
      </c>
      <c r="G61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17" s="1" t="s">
        <v>49</v>
      </c>
      <c r="I617" s="1" t="s">
        <v>15</v>
      </c>
      <c r="J617" s="1" t="s">
        <v>22</v>
      </c>
      <c r="K617">
        <v>1</v>
      </c>
    </row>
    <row r="618" spans="1:11" x14ac:dyDescent="0.3">
      <c r="A618" s="1" t="s">
        <v>9</v>
      </c>
      <c r="B618">
        <v>40</v>
      </c>
      <c r="C618" t="str" cm="1">
        <f t="array" ref="C618">_xlfn.IFS(
    Dataset[[#This Row],[Age]]&lt;=10, "0-10",
    AND(Dataset[[#This Row],[Age]]&gt;10, Dataset[[#This Row],[Age]]&lt;=18), "11-18",
    AND(Dataset[[#This Row],[Age]]&gt;18, Dataset[[#This Row],[Age]]&lt;=30), "19-30",
    AND(Dataset[[#This Row],[Age]]&gt;30, Dataset[[#This Row],[Age]]&lt;=60), "31-60",
    Dataset[[#This Row],[Age]]&gt;60, "above 60"
)</f>
        <v>31-60</v>
      </c>
      <c r="D618">
        <v>1</v>
      </c>
      <c r="E618">
        <v>1</v>
      </c>
      <c r="F618">
        <v>0</v>
      </c>
      <c r="G61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18" s="1" t="s">
        <v>29</v>
      </c>
      <c r="I618" s="1" t="s">
        <v>11</v>
      </c>
      <c r="J618" s="1" t="s">
        <v>22</v>
      </c>
      <c r="K618">
        <v>1</v>
      </c>
    </row>
    <row r="619" spans="1:11" x14ac:dyDescent="0.3">
      <c r="A619" s="1" t="s">
        <v>9</v>
      </c>
      <c r="B619">
        <v>51</v>
      </c>
      <c r="C619" t="str" cm="1">
        <f t="array" ref="C619">_xlfn.IFS(
    Dataset[[#This Row],[Age]]&lt;=10, "0-10",
    AND(Dataset[[#This Row],[Age]]&gt;10, Dataset[[#This Row],[Age]]&lt;=18), "11-18",
    AND(Dataset[[#This Row],[Age]]&gt;18, Dataset[[#This Row],[Age]]&lt;=30), "19-30",
    AND(Dataset[[#This Row],[Age]]&gt;30, Dataset[[#This Row],[Age]]&lt;=60), "31-60",
    Dataset[[#This Row],[Age]]&gt;60, "above 60"
)</f>
        <v>31-60</v>
      </c>
      <c r="D619">
        <v>0</v>
      </c>
      <c r="E619">
        <v>0</v>
      </c>
      <c r="F619">
        <v>1</v>
      </c>
      <c r="G61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19" s="1" t="s">
        <v>14</v>
      </c>
      <c r="I619" s="1" t="s">
        <v>15</v>
      </c>
      <c r="J619" s="1" t="s">
        <v>17</v>
      </c>
      <c r="K619">
        <v>0</v>
      </c>
    </row>
    <row r="620" spans="1:11" x14ac:dyDescent="0.3">
      <c r="A620" s="1" t="s">
        <v>9</v>
      </c>
      <c r="B620">
        <v>40</v>
      </c>
      <c r="C620" t="str" cm="1">
        <f t="array" ref="C620">_xlfn.IFS(
    Dataset[[#This Row],[Age]]&lt;=10, "0-10",
    AND(Dataset[[#This Row],[Age]]&gt;10, Dataset[[#This Row],[Age]]&lt;=18), "11-18",
    AND(Dataset[[#This Row],[Age]]&gt;18, Dataset[[#This Row],[Age]]&lt;=30), "19-30",
    AND(Dataset[[#This Row],[Age]]&gt;30, Dataset[[#This Row],[Age]]&lt;=60), "31-60",
    Dataset[[#This Row],[Age]]&gt;60, "above 60"
)</f>
        <v>31-60</v>
      </c>
      <c r="D620">
        <v>1</v>
      </c>
      <c r="E620">
        <v>1</v>
      </c>
      <c r="F620">
        <v>1</v>
      </c>
      <c r="G62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20" s="1" t="s">
        <v>42</v>
      </c>
      <c r="I620" s="1" t="s">
        <v>11</v>
      </c>
      <c r="J620" s="1" t="s">
        <v>12</v>
      </c>
      <c r="K620">
        <v>1</v>
      </c>
    </row>
    <row r="621" spans="1:11" x14ac:dyDescent="0.3">
      <c r="A621" s="1" t="s">
        <v>9</v>
      </c>
      <c r="B621">
        <v>50</v>
      </c>
      <c r="C621" t="str" cm="1">
        <f t="array" ref="C621">_xlfn.IFS(
    Dataset[[#This Row],[Age]]&lt;=10, "0-10",
    AND(Dataset[[#This Row],[Age]]&gt;10, Dataset[[#This Row],[Age]]&lt;=18), "11-18",
    AND(Dataset[[#This Row],[Age]]&gt;18, Dataset[[#This Row],[Age]]&lt;=30), "19-30",
    AND(Dataset[[#This Row],[Age]]&gt;30, Dataset[[#This Row],[Age]]&lt;=60), "31-60",
    Dataset[[#This Row],[Age]]&gt;60, "above 60"
)</f>
        <v>31-60</v>
      </c>
      <c r="D621">
        <v>0</v>
      </c>
      <c r="E621">
        <v>0</v>
      </c>
      <c r="F621">
        <v>0</v>
      </c>
      <c r="G62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21" s="1" t="s">
        <v>23</v>
      </c>
      <c r="I621" s="1" t="s">
        <v>15</v>
      </c>
      <c r="J621" s="1" t="s">
        <v>17</v>
      </c>
      <c r="K621">
        <v>0</v>
      </c>
    </row>
    <row r="622" spans="1:11" x14ac:dyDescent="0.3">
      <c r="A622" s="1" t="s">
        <v>13</v>
      </c>
      <c r="B622">
        <v>20</v>
      </c>
      <c r="C622" t="str" cm="1">
        <f t="array" ref="C622">_xlfn.IFS(
    Dataset[[#This Row],[Age]]&lt;=10, "0-10",
    AND(Dataset[[#This Row],[Age]]&gt;10, Dataset[[#This Row],[Age]]&lt;=18), "11-18",
    AND(Dataset[[#This Row],[Age]]&gt;18, Dataset[[#This Row],[Age]]&lt;=30), "19-30",
    AND(Dataset[[#This Row],[Age]]&gt;30, Dataset[[#This Row],[Age]]&lt;=60), "31-60",
    Dataset[[#This Row],[Age]]&gt;60, "above 60"
)</f>
        <v>19-30</v>
      </c>
      <c r="D622">
        <v>1</v>
      </c>
      <c r="E622">
        <v>1</v>
      </c>
      <c r="F622">
        <v>1</v>
      </c>
      <c r="G62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22" s="1" t="s">
        <v>10</v>
      </c>
      <c r="I622" s="1" t="s">
        <v>11</v>
      </c>
      <c r="J622" s="1" t="s">
        <v>22</v>
      </c>
      <c r="K622">
        <v>1</v>
      </c>
    </row>
    <row r="623" spans="1:11" x14ac:dyDescent="0.3">
      <c r="A623" s="1" t="s">
        <v>9</v>
      </c>
      <c r="B623">
        <v>27</v>
      </c>
      <c r="C623" t="str" cm="1">
        <f t="array" ref="C623">_xlfn.IFS(
    Dataset[[#This Row],[Age]]&lt;=10, "0-10",
    AND(Dataset[[#This Row],[Age]]&gt;10, Dataset[[#This Row],[Age]]&lt;=18), "11-18",
    AND(Dataset[[#This Row],[Age]]&gt;18, Dataset[[#This Row],[Age]]&lt;=30), "19-30",
    AND(Dataset[[#This Row],[Age]]&gt;30, Dataset[[#This Row],[Age]]&lt;=60), "31-60",
    Dataset[[#This Row],[Age]]&gt;60, "above 60"
)</f>
        <v>19-30</v>
      </c>
      <c r="D623">
        <v>0</v>
      </c>
      <c r="E623">
        <v>0</v>
      </c>
      <c r="F623">
        <v>0</v>
      </c>
      <c r="G62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23" s="1" t="s">
        <v>19</v>
      </c>
      <c r="I623" s="1" t="s">
        <v>15</v>
      </c>
      <c r="J623" s="1" t="s">
        <v>17</v>
      </c>
      <c r="K623">
        <v>0</v>
      </c>
    </row>
    <row r="624" spans="1:11" x14ac:dyDescent="0.3">
      <c r="A624" s="1" t="s">
        <v>9</v>
      </c>
      <c r="B624">
        <v>65</v>
      </c>
      <c r="C624" t="str" cm="1">
        <f t="array" ref="C624">_xlfn.IFS(
    Dataset[[#This Row],[Age]]&lt;=10, "0-10",
    AND(Dataset[[#This Row],[Age]]&gt;10, Dataset[[#This Row],[Age]]&lt;=18), "11-18",
    AND(Dataset[[#This Row],[Age]]&gt;18, Dataset[[#This Row],[Age]]&lt;=30), "19-30",
    AND(Dataset[[#This Row],[Age]]&gt;30, Dataset[[#This Row],[Age]]&lt;=60), "31-60",
    Dataset[[#This Row],[Age]]&gt;60, "above 60"
)</f>
        <v>above 60</v>
      </c>
      <c r="D624">
        <v>0</v>
      </c>
      <c r="E624">
        <v>0</v>
      </c>
      <c r="F624">
        <v>0</v>
      </c>
      <c r="G62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24" s="1" t="s">
        <v>18</v>
      </c>
      <c r="I624" s="1" t="s">
        <v>11</v>
      </c>
      <c r="J624" s="1" t="s">
        <v>22</v>
      </c>
      <c r="K624">
        <v>0</v>
      </c>
    </row>
    <row r="625" spans="1:11" x14ac:dyDescent="0.3">
      <c r="A625" s="1" t="s">
        <v>9</v>
      </c>
      <c r="B625">
        <v>10</v>
      </c>
      <c r="C625" t="str" cm="1">
        <f t="array" ref="C625">_xlfn.IFS(
    Dataset[[#This Row],[Age]]&lt;=10, "0-10",
    AND(Dataset[[#This Row],[Age]]&gt;10, Dataset[[#This Row],[Age]]&lt;=18), "11-18",
    AND(Dataset[[#This Row],[Age]]&gt;18, Dataset[[#This Row],[Age]]&lt;=30), "19-30",
    AND(Dataset[[#This Row],[Age]]&gt;30, Dataset[[#This Row],[Age]]&lt;=60), "31-60",
    Dataset[[#This Row],[Age]]&gt;60, "above 60"
)</f>
        <v>0-10</v>
      </c>
      <c r="D625">
        <v>1</v>
      </c>
      <c r="E625">
        <v>1</v>
      </c>
      <c r="F625">
        <v>1</v>
      </c>
      <c r="G62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25" s="1" t="s">
        <v>48</v>
      </c>
      <c r="I625" s="1" t="s">
        <v>15</v>
      </c>
      <c r="J625" s="1" t="s">
        <v>22</v>
      </c>
      <c r="K625">
        <v>1</v>
      </c>
    </row>
    <row r="626" spans="1:11" x14ac:dyDescent="0.3">
      <c r="A626" s="1" t="s">
        <v>9</v>
      </c>
      <c r="B626">
        <v>33</v>
      </c>
      <c r="C626" t="str" cm="1">
        <f t="array" ref="C626">_xlfn.IFS(
    Dataset[[#This Row],[Age]]&lt;=10, "0-10",
    AND(Dataset[[#This Row],[Age]]&gt;10, Dataset[[#This Row],[Age]]&lt;=18), "11-18",
    AND(Dataset[[#This Row],[Age]]&gt;18, Dataset[[#This Row],[Age]]&lt;=30), "19-30",
    AND(Dataset[[#This Row],[Age]]&gt;30, Dataset[[#This Row],[Age]]&lt;=60), "31-60",
    Dataset[[#This Row],[Age]]&gt;60, "above 60"
)</f>
        <v>31-60</v>
      </c>
      <c r="D626">
        <v>1</v>
      </c>
      <c r="E626">
        <v>1</v>
      </c>
      <c r="F626">
        <v>1</v>
      </c>
      <c r="G62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26" s="1" t="s">
        <v>18</v>
      </c>
      <c r="I626" s="1" t="s">
        <v>11</v>
      </c>
      <c r="J626" s="1" t="s">
        <v>22</v>
      </c>
      <c r="K626">
        <v>1</v>
      </c>
    </row>
    <row r="627" spans="1:11" x14ac:dyDescent="0.3">
      <c r="A627" s="1" t="s">
        <v>13</v>
      </c>
      <c r="B627">
        <v>20</v>
      </c>
      <c r="C627" t="str" cm="1">
        <f t="array" ref="C627">_xlfn.IFS(
    Dataset[[#This Row],[Age]]&lt;=10, "0-10",
    AND(Dataset[[#This Row],[Age]]&gt;10, Dataset[[#This Row],[Age]]&lt;=18), "11-18",
    AND(Dataset[[#This Row],[Age]]&gt;18, Dataset[[#This Row],[Age]]&lt;=30), "19-30",
    AND(Dataset[[#This Row],[Age]]&gt;30, Dataset[[#This Row],[Age]]&lt;=60), "31-60",
    Dataset[[#This Row],[Age]]&gt;60, "above 60"
)</f>
        <v>19-30</v>
      </c>
      <c r="D627">
        <v>1</v>
      </c>
      <c r="E627">
        <v>1</v>
      </c>
      <c r="F627">
        <v>1</v>
      </c>
      <c r="G62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27" s="1" t="s">
        <v>18</v>
      </c>
      <c r="I627" s="1" t="s">
        <v>15</v>
      </c>
      <c r="J627" s="1" t="s">
        <v>22</v>
      </c>
      <c r="K627">
        <v>1</v>
      </c>
    </row>
    <row r="628" spans="1:11" x14ac:dyDescent="0.3">
      <c r="A628" s="1" t="s">
        <v>9</v>
      </c>
      <c r="B628">
        <v>44</v>
      </c>
      <c r="C628" t="str" cm="1">
        <f t="array" ref="C628">_xlfn.IFS(
    Dataset[[#This Row],[Age]]&lt;=10, "0-10",
    AND(Dataset[[#This Row],[Age]]&gt;10, Dataset[[#This Row],[Age]]&lt;=18), "11-18",
    AND(Dataset[[#This Row],[Age]]&gt;18, Dataset[[#This Row],[Age]]&lt;=30), "19-30",
    AND(Dataset[[#This Row],[Age]]&gt;30, Dataset[[#This Row],[Age]]&lt;=60), "31-60",
    Dataset[[#This Row],[Age]]&gt;60, "above 60"
)</f>
        <v>31-60</v>
      </c>
      <c r="D628">
        <v>1</v>
      </c>
      <c r="E628">
        <v>1</v>
      </c>
      <c r="F628">
        <v>1</v>
      </c>
      <c r="G62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28" s="1" t="s">
        <v>23</v>
      </c>
      <c r="I628" s="1" t="s">
        <v>11</v>
      </c>
      <c r="J628" s="1" t="s">
        <v>12</v>
      </c>
      <c r="K628">
        <v>1</v>
      </c>
    </row>
    <row r="629" spans="1:11" x14ac:dyDescent="0.3">
      <c r="A629" s="1" t="s">
        <v>13</v>
      </c>
      <c r="B629">
        <v>62</v>
      </c>
      <c r="C629" t="str" cm="1">
        <f t="array" ref="C629">_xlfn.IFS(
    Dataset[[#This Row],[Age]]&lt;=10, "0-10",
    AND(Dataset[[#This Row],[Age]]&gt;10, Dataset[[#This Row],[Age]]&lt;=18), "11-18",
    AND(Dataset[[#This Row],[Age]]&gt;18, Dataset[[#This Row],[Age]]&lt;=30), "19-30",
    AND(Dataset[[#This Row],[Age]]&gt;30, Dataset[[#This Row],[Age]]&lt;=60), "31-60",
    Dataset[[#This Row],[Age]]&gt;60, "above 60"
)</f>
        <v>above 60</v>
      </c>
      <c r="D629">
        <v>0</v>
      </c>
      <c r="E629">
        <v>0</v>
      </c>
      <c r="F629">
        <v>0</v>
      </c>
      <c r="G62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29" s="1" t="s">
        <v>23</v>
      </c>
      <c r="I629" s="1" t="s">
        <v>15</v>
      </c>
      <c r="J629" s="1" t="s">
        <v>12</v>
      </c>
      <c r="K629">
        <v>0</v>
      </c>
    </row>
    <row r="630" spans="1:11" x14ac:dyDescent="0.3">
      <c r="A630" s="1" t="s">
        <v>13</v>
      </c>
      <c r="B630">
        <v>62</v>
      </c>
      <c r="C630" t="str" cm="1">
        <f t="array" ref="C630">_xlfn.IFS(
    Dataset[[#This Row],[Age]]&lt;=10, "0-10",
    AND(Dataset[[#This Row],[Age]]&gt;10, Dataset[[#This Row],[Age]]&lt;=18), "11-18",
    AND(Dataset[[#This Row],[Age]]&gt;18, Dataset[[#This Row],[Age]]&lt;=30), "19-30",
    AND(Dataset[[#This Row],[Age]]&gt;30, Dataset[[#This Row],[Age]]&lt;=60), "31-60",
    Dataset[[#This Row],[Age]]&gt;60, "above 60"
)</f>
        <v>above 60</v>
      </c>
      <c r="D630">
        <v>1</v>
      </c>
      <c r="E630">
        <v>1</v>
      </c>
      <c r="F630">
        <v>0</v>
      </c>
      <c r="G63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30" s="1" t="s">
        <v>48</v>
      </c>
      <c r="I630" s="1" t="s">
        <v>11</v>
      </c>
      <c r="J630" s="1" t="s">
        <v>17</v>
      </c>
      <c r="K630">
        <v>1</v>
      </c>
    </row>
    <row r="631" spans="1:11" x14ac:dyDescent="0.3">
      <c r="A631" s="1" t="s">
        <v>13</v>
      </c>
      <c r="B631">
        <v>54</v>
      </c>
      <c r="C631" t="str" cm="1">
        <f t="array" ref="C631">_xlfn.IFS(
    Dataset[[#This Row],[Age]]&lt;=10, "0-10",
    AND(Dataset[[#This Row],[Age]]&gt;10, Dataset[[#This Row],[Age]]&lt;=18), "11-18",
    AND(Dataset[[#This Row],[Age]]&gt;18, Dataset[[#This Row],[Age]]&lt;=30), "19-30",
    AND(Dataset[[#This Row],[Age]]&gt;30, Dataset[[#This Row],[Age]]&lt;=60), "31-60",
    Dataset[[#This Row],[Age]]&gt;60, "above 60"
)</f>
        <v>31-60</v>
      </c>
      <c r="D631">
        <v>1</v>
      </c>
      <c r="E631">
        <v>1</v>
      </c>
      <c r="F631">
        <v>1</v>
      </c>
      <c r="G63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31" s="1" t="s">
        <v>36</v>
      </c>
      <c r="I631" s="1" t="s">
        <v>15</v>
      </c>
      <c r="J631" s="1" t="s">
        <v>12</v>
      </c>
      <c r="K631">
        <v>1</v>
      </c>
    </row>
    <row r="632" spans="1:11" x14ac:dyDescent="0.3">
      <c r="A632" s="1" t="s">
        <v>13</v>
      </c>
      <c r="B632">
        <v>62</v>
      </c>
      <c r="C632" t="str" cm="1">
        <f t="array" ref="C632">_xlfn.IFS(
    Dataset[[#This Row],[Age]]&lt;=10, "0-10",
    AND(Dataset[[#This Row],[Age]]&gt;10, Dataset[[#This Row],[Age]]&lt;=18), "11-18",
    AND(Dataset[[#This Row],[Age]]&gt;18, Dataset[[#This Row],[Age]]&lt;=30), "19-30",
    AND(Dataset[[#This Row],[Age]]&gt;30, Dataset[[#This Row],[Age]]&lt;=60), "31-60",
    Dataset[[#This Row],[Age]]&gt;60, "above 60"
)</f>
        <v>above 60</v>
      </c>
      <c r="D632">
        <v>0</v>
      </c>
      <c r="E632">
        <v>0</v>
      </c>
      <c r="F632">
        <v>1</v>
      </c>
      <c r="G63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32" s="1" t="s">
        <v>16</v>
      </c>
      <c r="I632" s="1" t="s">
        <v>11</v>
      </c>
      <c r="J632" s="1" t="s">
        <v>22</v>
      </c>
      <c r="K632">
        <v>0</v>
      </c>
    </row>
    <row r="633" spans="1:11" x14ac:dyDescent="0.3">
      <c r="A633" s="1" t="s">
        <v>13</v>
      </c>
      <c r="B633">
        <v>58</v>
      </c>
      <c r="C633" t="str" cm="1">
        <f t="array" ref="C633">_xlfn.IFS(
    Dataset[[#This Row],[Age]]&lt;=10, "0-10",
    AND(Dataset[[#This Row],[Age]]&gt;10, Dataset[[#This Row],[Age]]&lt;=18), "11-18",
    AND(Dataset[[#This Row],[Age]]&gt;18, Dataset[[#This Row],[Age]]&lt;=30), "19-30",
    AND(Dataset[[#This Row],[Age]]&gt;30, Dataset[[#This Row],[Age]]&lt;=60), "31-60",
    Dataset[[#This Row],[Age]]&gt;60, "above 60"
)</f>
        <v>31-60</v>
      </c>
      <c r="D633">
        <v>1</v>
      </c>
      <c r="E633">
        <v>1</v>
      </c>
      <c r="F633">
        <v>0</v>
      </c>
      <c r="G63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33" s="1" t="s">
        <v>23</v>
      </c>
      <c r="I633" s="1" t="s">
        <v>15</v>
      </c>
      <c r="J633" s="1" t="s">
        <v>12</v>
      </c>
      <c r="K633">
        <v>1</v>
      </c>
    </row>
    <row r="634" spans="1:11" x14ac:dyDescent="0.3">
      <c r="A634" s="1" t="s">
        <v>13</v>
      </c>
      <c r="B634">
        <v>10</v>
      </c>
      <c r="C634" t="str" cm="1">
        <f t="array" ref="C634">_xlfn.IFS(
    Dataset[[#This Row],[Age]]&lt;=10, "0-10",
    AND(Dataset[[#This Row],[Age]]&gt;10, Dataset[[#This Row],[Age]]&lt;=18), "11-18",
    AND(Dataset[[#This Row],[Age]]&gt;18, Dataset[[#This Row],[Age]]&lt;=30), "19-30",
    AND(Dataset[[#This Row],[Age]]&gt;30, Dataset[[#This Row],[Age]]&lt;=60), "31-60",
    Dataset[[#This Row],[Age]]&gt;60, "above 60"
)</f>
        <v>0-10</v>
      </c>
      <c r="D634">
        <v>1</v>
      </c>
      <c r="E634">
        <v>1</v>
      </c>
      <c r="F634">
        <v>1</v>
      </c>
      <c r="G63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34" s="1" t="s">
        <v>24</v>
      </c>
      <c r="I634" s="1" t="s">
        <v>11</v>
      </c>
      <c r="J634" s="1" t="s">
        <v>17</v>
      </c>
      <c r="K634">
        <v>1</v>
      </c>
    </row>
    <row r="635" spans="1:11" x14ac:dyDescent="0.3">
      <c r="A635" s="1" t="s">
        <v>9</v>
      </c>
      <c r="B635">
        <v>47</v>
      </c>
      <c r="C635" t="str" cm="1">
        <f t="array" ref="C635">_xlfn.IFS(
    Dataset[[#This Row],[Age]]&lt;=10, "0-10",
    AND(Dataset[[#This Row],[Age]]&gt;10, Dataset[[#This Row],[Age]]&lt;=18), "11-18",
    AND(Dataset[[#This Row],[Age]]&gt;18, Dataset[[#This Row],[Age]]&lt;=30), "19-30",
    AND(Dataset[[#This Row],[Age]]&gt;30, Dataset[[#This Row],[Age]]&lt;=60), "31-60",
    Dataset[[#This Row],[Age]]&gt;60, "above 60"
)</f>
        <v>31-60</v>
      </c>
      <c r="D635">
        <v>0</v>
      </c>
      <c r="E635">
        <v>0</v>
      </c>
      <c r="F635">
        <v>1</v>
      </c>
      <c r="G63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35" s="1" t="s">
        <v>37</v>
      </c>
      <c r="I635" s="1" t="s">
        <v>15</v>
      </c>
      <c r="J635" s="1" t="s">
        <v>12</v>
      </c>
      <c r="K635">
        <v>0</v>
      </c>
    </row>
    <row r="636" spans="1:11" x14ac:dyDescent="0.3">
      <c r="A636" s="1" t="s">
        <v>9</v>
      </c>
      <c r="B636">
        <v>20</v>
      </c>
      <c r="C636" t="str" cm="1">
        <f t="array" ref="C636">_xlfn.IFS(
    Dataset[[#This Row],[Age]]&lt;=10, "0-10",
    AND(Dataset[[#This Row],[Age]]&gt;10, Dataset[[#This Row],[Age]]&lt;=18), "11-18",
    AND(Dataset[[#This Row],[Age]]&gt;18, Dataset[[#This Row],[Age]]&lt;=30), "19-30",
    AND(Dataset[[#This Row],[Age]]&gt;30, Dataset[[#This Row],[Age]]&lt;=60), "31-60",
    Dataset[[#This Row],[Age]]&gt;60, "above 60"
)</f>
        <v>19-30</v>
      </c>
      <c r="D636">
        <v>0</v>
      </c>
      <c r="E636">
        <v>0</v>
      </c>
      <c r="F636">
        <v>1</v>
      </c>
      <c r="G63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36" s="1" t="s">
        <v>34</v>
      </c>
      <c r="I636" s="1" t="s">
        <v>11</v>
      </c>
      <c r="J636" s="1" t="s">
        <v>22</v>
      </c>
      <c r="K636">
        <v>0</v>
      </c>
    </row>
    <row r="637" spans="1:11" x14ac:dyDescent="0.3">
      <c r="A637" s="1" t="s">
        <v>13</v>
      </c>
      <c r="B637">
        <v>60</v>
      </c>
      <c r="C637" t="str" cm="1">
        <f t="array" ref="C637">_xlfn.IFS(
    Dataset[[#This Row],[Age]]&lt;=10, "0-10",
    AND(Dataset[[#This Row],[Age]]&gt;10, Dataset[[#This Row],[Age]]&lt;=18), "11-18",
    AND(Dataset[[#This Row],[Age]]&gt;18, Dataset[[#This Row],[Age]]&lt;=30), "19-30",
    AND(Dataset[[#This Row],[Age]]&gt;30, Dataset[[#This Row],[Age]]&lt;=60), "31-60",
    Dataset[[#This Row],[Age]]&gt;60, "above 60"
)</f>
        <v>31-60</v>
      </c>
      <c r="D637">
        <v>0</v>
      </c>
      <c r="E637">
        <v>0</v>
      </c>
      <c r="F637">
        <v>1</v>
      </c>
      <c r="G63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37" s="1" t="s">
        <v>34</v>
      </c>
      <c r="I637" s="1" t="s">
        <v>15</v>
      </c>
      <c r="J637" s="1" t="s">
        <v>12</v>
      </c>
      <c r="K637">
        <v>0</v>
      </c>
    </row>
    <row r="638" spans="1:11" x14ac:dyDescent="0.3">
      <c r="A638" s="1" t="s">
        <v>9</v>
      </c>
      <c r="B638">
        <v>28</v>
      </c>
      <c r="C638" t="str" cm="1">
        <f t="array" ref="C638">_xlfn.IFS(
    Dataset[[#This Row],[Age]]&lt;=10, "0-10",
    AND(Dataset[[#This Row],[Age]]&gt;10, Dataset[[#This Row],[Age]]&lt;=18), "11-18",
    AND(Dataset[[#This Row],[Age]]&gt;18, Dataset[[#This Row],[Age]]&lt;=30), "19-30",
    AND(Dataset[[#This Row],[Age]]&gt;30, Dataset[[#This Row],[Age]]&lt;=60), "31-60",
    Dataset[[#This Row],[Age]]&gt;60, "above 60"
)</f>
        <v>19-30</v>
      </c>
      <c r="D638">
        <v>0</v>
      </c>
      <c r="E638">
        <v>0</v>
      </c>
      <c r="F638">
        <v>0</v>
      </c>
      <c r="G63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38" s="1" t="s">
        <v>47</v>
      </c>
      <c r="I638" s="1" t="s">
        <v>11</v>
      </c>
      <c r="J638" s="1" t="s">
        <v>22</v>
      </c>
      <c r="K638">
        <v>0</v>
      </c>
    </row>
    <row r="639" spans="1:11" x14ac:dyDescent="0.3">
      <c r="A639" s="1" t="s">
        <v>9</v>
      </c>
      <c r="B639">
        <v>21</v>
      </c>
      <c r="C639" t="str" cm="1">
        <f t="array" ref="C639">_xlfn.IFS(
    Dataset[[#This Row],[Age]]&lt;=10, "0-10",
    AND(Dataset[[#This Row],[Age]]&gt;10, Dataset[[#This Row],[Age]]&lt;=18), "11-18",
    AND(Dataset[[#This Row],[Age]]&gt;18, Dataset[[#This Row],[Age]]&lt;=30), "19-30",
    AND(Dataset[[#This Row],[Age]]&gt;30, Dataset[[#This Row],[Age]]&lt;=60), "31-60",
    Dataset[[#This Row],[Age]]&gt;60, "above 60"
)</f>
        <v>19-30</v>
      </c>
      <c r="D639">
        <v>1</v>
      </c>
      <c r="E639">
        <v>1</v>
      </c>
      <c r="F639">
        <v>1</v>
      </c>
      <c r="G63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39" s="1" t="s">
        <v>50</v>
      </c>
      <c r="I639" s="1" t="s">
        <v>15</v>
      </c>
      <c r="J639" s="1" t="s">
        <v>12</v>
      </c>
      <c r="K639">
        <v>1</v>
      </c>
    </row>
    <row r="640" spans="1:11" x14ac:dyDescent="0.3">
      <c r="A640" s="1" t="s">
        <v>9</v>
      </c>
      <c r="B640">
        <v>48</v>
      </c>
      <c r="C640" t="str" cm="1">
        <f t="array" ref="C640">_xlfn.IFS(
    Dataset[[#This Row],[Age]]&lt;=10, "0-10",
    AND(Dataset[[#This Row],[Age]]&gt;10, Dataset[[#This Row],[Age]]&lt;=18), "11-18",
    AND(Dataset[[#This Row],[Age]]&gt;18, Dataset[[#This Row],[Age]]&lt;=30), "19-30",
    AND(Dataset[[#This Row],[Age]]&gt;30, Dataset[[#This Row],[Age]]&lt;=60), "31-60",
    Dataset[[#This Row],[Age]]&gt;60, "above 60"
)</f>
        <v>31-60</v>
      </c>
      <c r="D640">
        <v>1</v>
      </c>
      <c r="E640">
        <v>1</v>
      </c>
      <c r="F640">
        <v>1</v>
      </c>
      <c r="G64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40" s="1" t="s">
        <v>51</v>
      </c>
      <c r="I640" s="1" t="s">
        <v>11</v>
      </c>
      <c r="J640" s="1" t="s">
        <v>17</v>
      </c>
      <c r="K640">
        <v>1</v>
      </c>
    </row>
    <row r="641" spans="1:11" x14ac:dyDescent="0.3">
      <c r="A641" s="1" t="s">
        <v>13</v>
      </c>
      <c r="B641">
        <v>45</v>
      </c>
      <c r="C641" t="str" cm="1">
        <f t="array" ref="C641">_xlfn.IFS(
    Dataset[[#This Row],[Age]]&lt;=10, "0-10",
    AND(Dataset[[#This Row],[Age]]&gt;10, Dataset[[#This Row],[Age]]&lt;=18), "11-18",
    AND(Dataset[[#This Row],[Age]]&gt;18, Dataset[[#This Row],[Age]]&lt;=30), "19-30",
    AND(Dataset[[#This Row],[Age]]&gt;30, Dataset[[#This Row],[Age]]&lt;=60), "31-60",
    Dataset[[#This Row],[Age]]&gt;60, "above 60"
)</f>
        <v>31-60</v>
      </c>
      <c r="D641">
        <v>0</v>
      </c>
      <c r="E641">
        <v>0</v>
      </c>
      <c r="F641">
        <v>0</v>
      </c>
      <c r="G64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41" s="1" t="s">
        <v>33</v>
      </c>
      <c r="I641" s="1" t="s">
        <v>15</v>
      </c>
      <c r="J641" s="1" t="s">
        <v>17</v>
      </c>
      <c r="K641">
        <v>0</v>
      </c>
    </row>
    <row r="642" spans="1:11" x14ac:dyDescent="0.3">
      <c r="A642" s="1" t="s">
        <v>13</v>
      </c>
      <c r="B642">
        <v>23</v>
      </c>
      <c r="C642" t="str" cm="1">
        <f t="array" ref="C642">_xlfn.IFS(
    Dataset[[#This Row],[Age]]&lt;=10, "0-10",
    AND(Dataset[[#This Row],[Age]]&gt;10, Dataset[[#This Row],[Age]]&lt;=18), "11-18",
    AND(Dataset[[#This Row],[Age]]&gt;18, Dataset[[#This Row],[Age]]&lt;=30), "19-30",
    AND(Dataset[[#This Row],[Age]]&gt;30, Dataset[[#This Row],[Age]]&lt;=60), "31-60",
    Dataset[[#This Row],[Age]]&gt;60, "above 60"
)</f>
        <v>19-30</v>
      </c>
      <c r="D642">
        <v>1</v>
      </c>
      <c r="E642">
        <v>1</v>
      </c>
      <c r="F642">
        <v>0</v>
      </c>
      <c r="G64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42" s="1" t="s">
        <v>46</v>
      </c>
      <c r="I642" s="1" t="s">
        <v>11</v>
      </c>
      <c r="J642" s="1" t="s">
        <v>12</v>
      </c>
      <c r="K642">
        <v>1</v>
      </c>
    </row>
    <row r="643" spans="1:11" x14ac:dyDescent="0.3">
      <c r="A643" s="1" t="s">
        <v>9</v>
      </c>
      <c r="B643">
        <v>52</v>
      </c>
      <c r="C643" t="str" cm="1">
        <f t="array" ref="C643">_xlfn.IFS(
    Dataset[[#This Row],[Age]]&lt;=10, "0-10",
    AND(Dataset[[#This Row],[Age]]&gt;10, Dataset[[#This Row],[Age]]&lt;=18), "11-18",
    AND(Dataset[[#This Row],[Age]]&gt;18, Dataset[[#This Row],[Age]]&lt;=30), "19-30",
    AND(Dataset[[#This Row],[Age]]&gt;30, Dataset[[#This Row],[Age]]&lt;=60), "31-60",
    Dataset[[#This Row],[Age]]&gt;60, "above 60"
)</f>
        <v>31-60</v>
      </c>
      <c r="D643">
        <v>0</v>
      </c>
      <c r="E643">
        <v>0</v>
      </c>
      <c r="F643">
        <v>0</v>
      </c>
      <c r="G64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43" s="1" t="s">
        <v>33</v>
      </c>
      <c r="I643" s="1" t="s">
        <v>15</v>
      </c>
      <c r="J643" s="1" t="s">
        <v>22</v>
      </c>
      <c r="K643">
        <v>0</v>
      </c>
    </row>
    <row r="644" spans="1:11" x14ac:dyDescent="0.3">
      <c r="A644" s="1" t="s">
        <v>13</v>
      </c>
      <c r="B644">
        <v>28</v>
      </c>
      <c r="C644" t="str" cm="1">
        <f t="array" ref="C644">_xlfn.IFS(
    Dataset[[#This Row],[Age]]&lt;=10, "0-10",
    AND(Dataset[[#This Row],[Age]]&gt;10, Dataset[[#This Row],[Age]]&lt;=18), "11-18",
    AND(Dataset[[#This Row],[Age]]&gt;18, Dataset[[#This Row],[Age]]&lt;=30), "19-30",
    AND(Dataset[[#This Row],[Age]]&gt;30, Dataset[[#This Row],[Age]]&lt;=60), "31-60",
    Dataset[[#This Row],[Age]]&gt;60, "above 60"
)</f>
        <v>19-30</v>
      </c>
      <c r="D644">
        <v>1</v>
      </c>
      <c r="E644">
        <v>1</v>
      </c>
      <c r="F644">
        <v>1</v>
      </c>
      <c r="G64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44" s="1" t="s">
        <v>50</v>
      </c>
      <c r="I644" s="1" t="s">
        <v>11</v>
      </c>
      <c r="J644" s="1" t="s">
        <v>12</v>
      </c>
      <c r="K644">
        <v>1</v>
      </c>
    </row>
    <row r="645" spans="1:11" x14ac:dyDescent="0.3">
      <c r="A645" s="1" t="s">
        <v>13</v>
      </c>
      <c r="B645">
        <v>19</v>
      </c>
      <c r="C645" t="str" cm="1">
        <f t="array" ref="C645">_xlfn.IFS(
    Dataset[[#This Row],[Age]]&lt;=10, "0-10",
    AND(Dataset[[#This Row],[Age]]&gt;10, Dataset[[#This Row],[Age]]&lt;=18), "11-18",
    AND(Dataset[[#This Row],[Age]]&gt;18, Dataset[[#This Row],[Age]]&lt;=30), "19-30",
    AND(Dataset[[#This Row],[Age]]&gt;30, Dataset[[#This Row],[Age]]&lt;=60), "31-60",
    Dataset[[#This Row],[Age]]&gt;60, "above 60"
)</f>
        <v>19-30</v>
      </c>
      <c r="D645">
        <v>0</v>
      </c>
      <c r="E645">
        <v>0</v>
      </c>
      <c r="F645">
        <v>0</v>
      </c>
      <c r="G64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45" s="1" t="s">
        <v>29</v>
      </c>
      <c r="I645" s="1" t="s">
        <v>15</v>
      </c>
      <c r="J645" s="1" t="s">
        <v>17</v>
      </c>
      <c r="K645">
        <v>0</v>
      </c>
    </row>
    <row r="646" spans="1:11" x14ac:dyDescent="0.3">
      <c r="A646" s="1" t="s">
        <v>13</v>
      </c>
      <c r="B646">
        <v>46</v>
      </c>
      <c r="C646" t="str" cm="1">
        <f t="array" ref="C646">_xlfn.IFS(
    Dataset[[#This Row],[Age]]&lt;=10, "0-10",
    AND(Dataset[[#This Row],[Age]]&gt;10, Dataset[[#This Row],[Age]]&lt;=18), "11-18",
    AND(Dataset[[#This Row],[Age]]&gt;18, Dataset[[#This Row],[Age]]&lt;=30), "19-30",
    AND(Dataset[[#This Row],[Age]]&gt;30, Dataset[[#This Row],[Age]]&lt;=60), "31-60",
    Dataset[[#This Row],[Age]]&gt;60, "above 60"
)</f>
        <v>31-60</v>
      </c>
      <c r="D646">
        <v>1</v>
      </c>
      <c r="E646">
        <v>1</v>
      </c>
      <c r="F646">
        <v>1</v>
      </c>
      <c r="G64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46" s="1" t="s">
        <v>32</v>
      </c>
      <c r="I646" s="1" t="s">
        <v>11</v>
      </c>
      <c r="J646" s="1" t="s">
        <v>12</v>
      </c>
      <c r="K646">
        <v>1</v>
      </c>
    </row>
    <row r="647" spans="1:11" x14ac:dyDescent="0.3">
      <c r="A647" s="1" t="s">
        <v>9</v>
      </c>
      <c r="B647">
        <v>61</v>
      </c>
      <c r="C647" t="str" cm="1">
        <f t="array" ref="C647">_xlfn.IFS(
    Dataset[[#This Row],[Age]]&lt;=10, "0-10",
    AND(Dataset[[#This Row],[Age]]&gt;10, Dataset[[#This Row],[Age]]&lt;=18), "11-18",
    AND(Dataset[[#This Row],[Age]]&gt;18, Dataset[[#This Row],[Age]]&lt;=30), "19-30",
    AND(Dataset[[#This Row],[Age]]&gt;30, Dataset[[#This Row],[Age]]&lt;=60), "31-60",
    Dataset[[#This Row],[Age]]&gt;60, "above 60"
)</f>
        <v>above 60</v>
      </c>
      <c r="D647">
        <v>0</v>
      </c>
      <c r="E647">
        <v>0</v>
      </c>
      <c r="F647">
        <v>0</v>
      </c>
      <c r="G64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47" s="1" t="s">
        <v>19</v>
      </c>
      <c r="I647" s="1" t="s">
        <v>15</v>
      </c>
      <c r="J647" s="1" t="s">
        <v>22</v>
      </c>
      <c r="K647">
        <v>0</v>
      </c>
    </row>
    <row r="648" spans="1:11" x14ac:dyDescent="0.3">
      <c r="A648" s="1" t="s">
        <v>9</v>
      </c>
      <c r="B648">
        <v>32</v>
      </c>
      <c r="C648" t="str" cm="1">
        <f t="array" ref="C648">_xlfn.IFS(
    Dataset[[#This Row],[Age]]&lt;=10, "0-10",
    AND(Dataset[[#This Row],[Age]]&gt;10, Dataset[[#This Row],[Age]]&lt;=18), "11-18",
    AND(Dataset[[#This Row],[Age]]&gt;18, Dataset[[#This Row],[Age]]&lt;=30), "19-30",
    AND(Dataset[[#This Row],[Age]]&gt;30, Dataset[[#This Row],[Age]]&lt;=60), "31-60",
    Dataset[[#This Row],[Age]]&gt;60, "above 60"
)</f>
        <v>31-60</v>
      </c>
      <c r="D648">
        <v>0</v>
      </c>
      <c r="E648">
        <v>0</v>
      </c>
      <c r="F648">
        <v>0</v>
      </c>
      <c r="G64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48" s="1" t="s">
        <v>16</v>
      </c>
      <c r="I648" s="1" t="s">
        <v>11</v>
      </c>
      <c r="J648" s="1" t="s">
        <v>12</v>
      </c>
      <c r="K648">
        <v>0</v>
      </c>
    </row>
    <row r="649" spans="1:11" x14ac:dyDescent="0.3">
      <c r="A649" s="1" t="s">
        <v>13</v>
      </c>
      <c r="B649">
        <v>10</v>
      </c>
      <c r="C649" t="str" cm="1">
        <f t="array" ref="C649">_xlfn.IFS(
    Dataset[[#This Row],[Age]]&lt;=10, "0-10",
    AND(Dataset[[#This Row],[Age]]&gt;10, Dataset[[#This Row],[Age]]&lt;=18), "11-18",
    AND(Dataset[[#This Row],[Age]]&gt;18, Dataset[[#This Row],[Age]]&lt;=30), "19-30",
    AND(Dataset[[#This Row],[Age]]&gt;30, Dataset[[#This Row],[Age]]&lt;=60), "31-60",
    Dataset[[#This Row],[Age]]&gt;60, "above 60"
)</f>
        <v>0-10</v>
      </c>
      <c r="D649">
        <v>1</v>
      </c>
      <c r="E649">
        <v>1</v>
      </c>
      <c r="F649">
        <v>1</v>
      </c>
      <c r="G64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49" s="1" t="s">
        <v>32</v>
      </c>
      <c r="I649" s="1" t="s">
        <v>15</v>
      </c>
      <c r="J649" s="1" t="s">
        <v>17</v>
      </c>
      <c r="K649">
        <v>1</v>
      </c>
    </row>
    <row r="650" spans="1:11" x14ac:dyDescent="0.3">
      <c r="A650" s="1" t="s">
        <v>13</v>
      </c>
      <c r="B650">
        <v>27</v>
      </c>
      <c r="C650" t="str" cm="1">
        <f t="array" ref="C650">_xlfn.IFS(
    Dataset[[#This Row],[Age]]&lt;=10, "0-10",
    AND(Dataset[[#This Row],[Age]]&gt;10, Dataset[[#This Row],[Age]]&lt;=18), "11-18",
    AND(Dataset[[#This Row],[Age]]&gt;18, Dataset[[#This Row],[Age]]&lt;=30), "19-30",
    AND(Dataset[[#This Row],[Age]]&gt;30, Dataset[[#This Row],[Age]]&lt;=60), "31-60",
    Dataset[[#This Row],[Age]]&gt;60, "above 60"
)</f>
        <v>19-30</v>
      </c>
      <c r="D650">
        <v>1</v>
      </c>
      <c r="E650">
        <v>1</v>
      </c>
      <c r="F650">
        <v>1</v>
      </c>
      <c r="G65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50" s="1" t="s">
        <v>21</v>
      </c>
      <c r="I650" s="1" t="s">
        <v>11</v>
      </c>
      <c r="J650" s="1" t="s">
        <v>17</v>
      </c>
      <c r="K650">
        <v>1</v>
      </c>
    </row>
    <row r="651" spans="1:11" x14ac:dyDescent="0.3">
      <c r="A651" s="1" t="s">
        <v>9</v>
      </c>
      <c r="B651">
        <v>56</v>
      </c>
      <c r="C651" t="str" cm="1">
        <f t="array" ref="C651">_xlfn.IFS(
    Dataset[[#This Row],[Age]]&lt;=10, "0-10",
    AND(Dataset[[#This Row],[Age]]&gt;10, Dataset[[#This Row],[Age]]&lt;=18), "11-18",
    AND(Dataset[[#This Row],[Age]]&gt;18, Dataset[[#This Row],[Age]]&lt;=30), "19-30",
    AND(Dataset[[#This Row],[Age]]&gt;30, Dataset[[#This Row],[Age]]&lt;=60), "31-60",
    Dataset[[#This Row],[Age]]&gt;60, "above 60"
)</f>
        <v>31-60</v>
      </c>
      <c r="D651">
        <v>0</v>
      </c>
      <c r="E651">
        <v>0</v>
      </c>
      <c r="F651">
        <v>0</v>
      </c>
      <c r="G65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51" s="1" t="s">
        <v>25</v>
      </c>
      <c r="I651" s="1" t="s">
        <v>15</v>
      </c>
      <c r="J651" s="1" t="s">
        <v>12</v>
      </c>
      <c r="K651">
        <v>0</v>
      </c>
    </row>
    <row r="652" spans="1:11" x14ac:dyDescent="0.3">
      <c r="A652" s="1" t="s">
        <v>13</v>
      </c>
      <c r="B652">
        <v>26</v>
      </c>
      <c r="C652" t="str" cm="1">
        <f t="array" ref="C652">_xlfn.IFS(
    Dataset[[#This Row],[Age]]&lt;=10, "0-10",
    AND(Dataset[[#This Row],[Age]]&gt;10, Dataset[[#This Row],[Age]]&lt;=18), "11-18",
    AND(Dataset[[#This Row],[Age]]&gt;18, Dataset[[#This Row],[Age]]&lt;=30), "19-30",
    AND(Dataset[[#This Row],[Age]]&gt;30, Dataset[[#This Row],[Age]]&lt;=60), "31-60",
    Dataset[[#This Row],[Age]]&gt;60, "above 60"
)</f>
        <v>19-30</v>
      </c>
      <c r="D652">
        <v>0</v>
      </c>
      <c r="E652">
        <v>0</v>
      </c>
      <c r="F652">
        <v>0</v>
      </c>
      <c r="G65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52" s="1" t="s">
        <v>40</v>
      </c>
      <c r="I652" s="1" t="s">
        <v>11</v>
      </c>
      <c r="J652" s="1" t="s">
        <v>12</v>
      </c>
      <c r="K652">
        <v>0</v>
      </c>
    </row>
    <row r="653" spans="1:11" x14ac:dyDescent="0.3">
      <c r="A653" s="1" t="s">
        <v>13</v>
      </c>
      <c r="B653">
        <v>15</v>
      </c>
      <c r="C653" t="str" cm="1">
        <f t="array" ref="C653">_xlfn.IFS(
    Dataset[[#This Row],[Age]]&lt;=10, "0-10",
    AND(Dataset[[#This Row],[Age]]&gt;10, Dataset[[#This Row],[Age]]&lt;=18), "11-18",
    AND(Dataset[[#This Row],[Age]]&gt;18, Dataset[[#This Row],[Age]]&lt;=30), "19-30",
    AND(Dataset[[#This Row],[Age]]&gt;30, Dataset[[#This Row],[Age]]&lt;=60), "31-60",
    Dataset[[#This Row],[Age]]&gt;60, "above 60"
)</f>
        <v>11-18</v>
      </c>
      <c r="D653">
        <v>1</v>
      </c>
      <c r="E653">
        <v>1</v>
      </c>
      <c r="F653">
        <v>0</v>
      </c>
      <c r="G65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53" s="1" t="s">
        <v>19</v>
      </c>
      <c r="I653" s="1" t="s">
        <v>15</v>
      </c>
      <c r="J653" s="1" t="s">
        <v>17</v>
      </c>
      <c r="K653">
        <v>1</v>
      </c>
    </row>
    <row r="654" spans="1:11" x14ac:dyDescent="0.3">
      <c r="A654" s="1" t="s">
        <v>9</v>
      </c>
      <c r="B654">
        <v>10</v>
      </c>
      <c r="C654" t="str" cm="1">
        <f t="array" ref="C654">_xlfn.IFS(
    Dataset[[#This Row],[Age]]&lt;=10, "0-10",
    AND(Dataset[[#This Row],[Age]]&gt;10, Dataset[[#This Row],[Age]]&lt;=18), "11-18",
    AND(Dataset[[#This Row],[Age]]&gt;18, Dataset[[#This Row],[Age]]&lt;=30), "19-30",
    AND(Dataset[[#This Row],[Age]]&gt;30, Dataset[[#This Row],[Age]]&lt;=60), "31-60",
    Dataset[[#This Row],[Age]]&gt;60, "above 60"
)</f>
        <v>0-10</v>
      </c>
      <c r="D654">
        <v>1</v>
      </c>
      <c r="E654">
        <v>1</v>
      </c>
      <c r="F654">
        <v>1</v>
      </c>
      <c r="G65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54" s="1" t="s">
        <v>19</v>
      </c>
      <c r="I654" s="1" t="s">
        <v>11</v>
      </c>
      <c r="J654" s="1" t="s">
        <v>17</v>
      </c>
      <c r="K654">
        <v>1</v>
      </c>
    </row>
    <row r="655" spans="1:11" x14ac:dyDescent="0.3">
      <c r="A655" s="1" t="s">
        <v>13</v>
      </c>
      <c r="B655">
        <v>24</v>
      </c>
      <c r="C655" t="str" cm="1">
        <f t="array" ref="C655">_xlfn.IFS(
    Dataset[[#This Row],[Age]]&lt;=10, "0-10",
    AND(Dataset[[#This Row],[Age]]&gt;10, Dataset[[#This Row],[Age]]&lt;=18), "11-18",
    AND(Dataset[[#This Row],[Age]]&gt;18, Dataset[[#This Row],[Age]]&lt;=30), "19-30",
    AND(Dataset[[#This Row],[Age]]&gt;30, Dataset[[#This Row],[Age]]&lt;=60), "31-60",
    Dataset[[#This Row],[Age]]&gt;60, "above 60"
)</f>
        <v>19-30</v>
      </c>
      <c r="D655">
        <v>1</v>
      </c>
      <c r="E655">
        <v>1</v>
      </c>
      <c r="F655">
        <v>1</v>
      </c>
      <c r="G65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55" s="1" t="s">
        <v>32</v>
      </c>
      <c r="I655" s="1" t="s">
        <v>15</v>
      </c>
      <c r="J655" s="1" t="s">
        <v>22</v>
      </c>
      <c r="K655">
        <v>1</v>
      </c>
    </row>
    <row r="656" spans="1:11" x14ac:dyDescent="0.3">
      <c r="A656" s="1" t="s">
        <v>9</v>
      </c>
      <c r="B656">
        <v>51</v>
      </c>
      <c r="C656" t="str" cm="1">
        <f t="array" ref="C656">_xlfn.IFS(
    Dataset[[#This Row],[Age]]&lt;=10, "0-10",
    AND(Dataset[[#This Row],[Age]]&gt;10, Dataset[[#This Row],[Age]]&lt;=18), "11-18",
    AND(Dataset[[#This Row],[Age]]&gt;18, Dataset[[#This Row],[Age]]&lt;=30), "19-30",
    AND(Dataset[[#This Row],[Age]]&gt;30, Dataset[[#This Row],[Age]]&lt;=60), "31-60",
    Dataset[[#This Row],[Age]]&gt;60, "above 60"
)</f>
        <v>31-60</v>
      </c>
      <c r="D656">
        <v>0</v>
      </c>
      <c r="E656">
        <v>0</v>
      </c>
      <c r="F656">
        <v>1</v>
      </c>
      <c r="G65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56" s="1" t="s">
        <v>44</v>
      </c>
      <c r="I656" s="1" t="s">
        <v>11</v>
      </c>
      <c r="J656" s="1" t="s">
        <v>22</v>
      </c>
      <c r="K656">
        <v>0</v>
      </c>
    </row>
    <row r="657" spans="1:11" x14ac:dyDescent="0.3">
      <c r="A657" s="1" t="s">
        <v>9</v>
      </c>
      <c r="B657">
        <v>41</v>
      </c>
      <c r="C657" t="str" cm="1">
        <f t="array" ref="C657">_xlfn.IFS(
    Dataset[[#This Row],[Age]]&lt;=10, "0-10",
    AND(Dataset[[#This Row],[Age]]&gt;10, Dataset[[#This Row],[Age]]&lt;=18), "11-18",
    AND(Dataset[[#This Row],[Age]]&gt;18, Dataset[[#This Row],[Age]]&lt;=30), "19-30",
    AND(Dataset[[#This Row],[Age]]&gt;30, Dataset[[#This Row],[Age]]&lt;=60), "31-60",
    Dataset[[#This Row],[Age]]&gt;60, "above 60"
)</f>
        <v>31-60</v>
      </c>
      <c r="D657">
        <v>0</v>
      </c>
      <c r="E657">
        <v>0</v>
      </c>
      <c r="F657">
        <v>1</v>
      </c>
      <c r="G65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57" s="1" t="s">
        <v>16</v>
      </c>
      <c r="I657" s="1" t="s">
        <v>15</v>
      </c>
      <c r="J657" s="1" t="s">
        <v>17</v>
      </c>
      <c r="K657">
        <v>0</v>
      </c>
    </row>
    <row r="658" spans="1:11" x14ac:dyDescent="0.3">
      <c r="A658" s="1" t="s">
        <v>13</v>
      </c>
      <c r="B658">
        <v>65</v>
      </c>
      <c r="C658" t="str" cm="1">
        <f t="array" ref="C658">_xlfn.IFS(
    Dataset[[#This Row],[Age]]&lt;=10, "0-10",
    AND(Dataset[[#This Row],[Age]]&gt;10, Dataset[[#This Row],[Age]]&lt;=18), "11-18",
    AND(Dataset[[#This Row],[Age]]&gt;18, Dataset[[#This Row],[Age]]&lt;=30), "19-30",
    AND(Dataset[[#This Row],[Age]]&gt;30, Dataset[[#This Row],[Age]]&lt;=60), "31-60",
    Dataset[[#This Row],[Age]]&gt;60, "above 60"
)</f>
        <v>above 60</v>
      </c>
      <c r="D658">
        <v>1</v>
      </c>
      <c r="E658">
        <v>1</v>
      </c>
      <c r="F658">
        <v>0</v>
      </c>
      <c r="G65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58" s="1" t="s">
        <v>44</v>
      </c>
      <c r="I658" s="1" t="s">
        <v>11</v>
      </c>
      <c r="J658" s="1" t="s">
        <v>12</v>
      </c>
      <c r="K658">
        <v>1</v>
      </c>
    </row>
    <row r="659" spans="1:11" x14ac:dyDescent="0.3">
      <c r="A659" s="1" t="s">
        <v>9</v>
      </c>
      <c r="B659">
        <v>51</v>
      </c>
      <c r="C659" t="str" cm="1">
        <f t="array" ref="C659">_xlfn.IFS(
    Dataset[[#This Row],[Age]]&lt;=10, "0-10",
    AND(Dataset[[#This Row],[Age]]&gt;10, Dataset[[#This Row],[Age]]&lt;=18), "11-18",
    AND(Dataset[[#This Row],[Age]]&gt;18, Dataset[[#This Row],[Age]]&lt;=30), "19-30",
    AND(Dataset[[#This Row],[Age]]&gt;30, Dataset[[#This Row],[Age]]&lt;=60), "31-60",
    Dataset[[#This Row],[Age]]&gt;60, "above 60"
)</f>
        <v>31-60</v>
      </c>
      <c r="D659">
        <v>0</v>
      </c>
      <c r="E659">
        <v>0</v>
      </c>
      <c r="F659">
        <v>1</v>
      </c>
      <c r="G65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59" s="1" t="s">
        <v>20</v>
      </c>
      <c r="I659" s="1" t="s">
        <v>15</v>
      </c>
      <c r="J659" s="1" t="s">
        <v>12</v>
      </c>
      <c r="K659">
        <v>0</v>
      </c>
    </row>
    <row r="660" spans="1:11" x14ac:dyDescent="0.3">
      <c r="A660" s="1" t="s">
        <v>13</v>
      </c>
      <c r="B660">
        <v>18</v>
      </c>
      <c r="C660" t="str" cm="1">
        <f t="array" ref="C660">_xlfn.IFS(
    Dataset[[#This Row],[Age]]&lt;=10, "0-10",
    AND(Dataset[[#This Row],[Age]]&gt;10, Dataset[[#This Row],[Age]]&lt;=18), "11-18",
    AND(Dataset[[#This Row],[Age]]&gt;18, Dataset[[#This Row],[Age]]&lt;=30), "19-30",
    AND(Dataset[[#This Row],[Age]]&gt;30, Dataset[[#This Row],[Age]]&lt;=60), "31-60",
    Dataset[[#This Row],[Age]]&gt;60, "above 60"
)</f>
        <v>11-18</v>
      </c>
      <c r="D660">
        <v>0</v>
      </c>
      <c r="E660">
        <v>0</v>
      </c>
      <c r="F660">
        <v>0</v>
      </c>
      <c r="G66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60" s="1" t="s">
        <v>21</v>
      </c>
      <c r="I660" s="1" t="s">
        <v>11</v>
      </c>
      <c r="J660" s="1" t="s">
        <v>12</v>
      </c>
      <c r="K660">
        <v>0</v>
      </c>
    </row>
    <row r="661" spans="1:11" x14ac:dyDescent="0.3">
      <c r="A661" s="1" t="s">
        <v>13</v>
      </c>
      <c r="B661">
        <v>31</v>
      </c>
      <c r="C661" t="str" cm="1">
        <f t="array" ref="C661">_xlfn.IFS(
    Dataset[[#This Row],[Age]]&lt;=10, "0-10",
    AND(Dataset[[#This Row],[Age]]&gt;10, Dataset[[#This Row],[Age]]&lt;=18), "11-18",
    AND(Dataset[[#This Row],[Age]]&gt;18, Dataset[[#This Row],[Age]]&lt;=30), "19-30",
    AND(Dataset[[#This Row],[Age]]&gt;30, Dataset[[#This Row],[Age]]&lt;=60), "31-60",
    Dataset[[#This Row],[Age]]&gt;60, "above 60"
)</f>
        <v>31-60</v>
      </c>
      <c r="D661">
        <v>0</v>
      </c>
      <c r="E661">
        <v>0</v>
      </c>
      <c r="F661">
        <v>1</v>
      </c>
      <c r="G66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61" s="1" t="s">
        <v>40</v>
      </c>
      <c r="I661" s="1" t="s">
        <v>15</v>
      </c>
      <c r="J661" s="1" t="s">
        <v>12</v>
      </c>
      <c r="K661">
        <v>0</v>
      </c>
    </row>
    <row r="662" spans="1:11" x14ac:dyDescent="0.3">
      <c r="A662" s="1" t="s">
        <v>13</v>
      </c>
      <c r="B662">
        <v>30</v>
      </c>
      <c r="C662" t="str" cm="1">
        <f t="array" ref="C662">_xlfn.IFS(
    Dataset[[#This Row],[Age]]&lt;=10, "0-10",
    AND(Dataset[[#This Row],[Age]]&gt;10, Dataset[[#This Row],[Age]]&lt;=18), "11-18",
    AND(Dataset[[#This Row],[Age]]&gt;18, Dataset[[#This Row],[Age]]&lt;=30), "19-30",
    AND(Dataset[[#This Row],[Age]]&gt;30, Dataset[[#This Row],[Age]]&lt;=60), "31-60",
    Dataset[[#This Row],[Age]]&gt;60, "above 60"
)</f>
        <v>19-30</v>
      </c>
      <c r="D662">
        <v>1</v>
      </c>
      <c r="E662">
        <v>1</v>
      </c>
      <c r="F662">
        <v>0</v>
      </c>
      <c r="G66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62" s="1" t="s">
        <v>46</v>
      </c>
      <c r="I662" s="1" t="s">
        <v>11</v>
      </c>
      <c r="J662" s="1" t="s">
        <v>12</v>
      </c>
      <c r="K662">
        <v>1</v>
      </c>
    </row>
    <row r="663" spans="1:11" x14ac:dyDescent="0.3">
      <c r="A663" s="1" t="s">
        <v>13</v>
      </c>
      <c r="B663">
        <v>14</v>
      </c>
      <c r="C663" t="str" cm="1">
        <f t="array" ref="C663">_xlfn.IFS(
    Dataset[[#This Row],[Age]]&lt;=10, "0-10",
    AND(Dataset[[#This Row],[Age]]&gt;10, Dataset[[#This Row],[Age]]&lt;=18), "11-18",
    AND(Dataset[[#This Row],[Age]]&gt;18, Dataset[[#This Row],[Age]]&lt;=30), "19-30",
    AND(Dataset[[#This Row],[Age]]&gt;30, Dataset[[#This Row],[Age]]&lt;=60), "31-60",
    Dataset[[#This Row],[Age]]&gt;60, "above 60"
)</f>
        <v>11-18</v>
      </c>
      <c r="D663">
        <v>1</v>
      </c>
      <c r="E663">
        <v>1</v>
      </c>
      <c r="F663">
        <v>1</v>
      </c>
      <c r="G66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63" s="1" t="s">
        <v>42</v>
      </c>
      <c r="I663" s="1" t="s">
        <v>15</v>
      </c>
      <c r="J663" s="1" t="s">
        <v>22</v>
      </c>
      <c r="K663">
        <v>1</v>
      </c>
    </row>
    <row r="664" spans="1:11" x14ac:dyDescent="0.3">
      <c r="A664" s="1" t="s">
        <v>13</v>
      </c>
      <c r="B664">
        <v>17</v>
      </c>
      <c r="C664" t="str" cm="1">
        <f t="array" ref="C664">_xlfn.IFS(
    Dataset[[#This Row],[Age]]&lt;=10, "0-10",
    AND(Dataset[[#This Row],[Age]]&gt;10, Dataset[[#This Row],[Age]]&lt;=18), "11-18",
    AND(Dataset[[#This Row],[Age]]&gt;18, Dataset[[#This Row],[Age]]&lt;=30), "19-30",
    AND(Dataset[[#This Row],[Age]]&gt;30, Dataset[[#This Row],[Age]]&lt;=60), "31-60",
    Dataset[[#This Row],[Age]]&gt;60, "above 60"
)</f>
        <v>11-18</v>
      </c>
      <c r="D664">
        <v>1</v>
      </c>
      <c r="E664">
        <v>1</v>
      </c>
      <c r="F664">
        <v>0</v>
      </c>
      <c r="G66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64" s="1" t="s">
        <v>21</v>
      </c>
      <c r="I664" s="1" t="s">
        <v>11</v>
      </c>
      <c r="J664" s="1" t="s">
        <v>17</v>
      </c>
      <c r="K664">
        <v>1</v>
      </c>
    </row>
    <row r="665" spans="1:11" x14ac:dyDescent="0.3">
      <c r="A665" s="1" t="s">
        <v>13</v>
      </c>
      <c r="B665">
        <v>63</v>
      </c>
      <c r="C665" t="str" cm="1">
        <f t="array" ref="C665">_xlfn.IFS(
    Dataset[[#This Row],[Age]]&lt;=10, "0-10",
    AND(Dataset[[#This Row],[Age]]&gt;10, Dataset[[#This Row],[Age]]&lt;=18), "11-18",
    AND(Dataset[[#This Row],[Age]]&gt;18, Dataset[[#This Row],[Age]]&lt;=30), "19-30",
    AND(Dataset[[#This Row],[Age]]&gt;30, Dataset[[#This Row],[Age]]&lt;=60), "31-60",
    Dataset[[#This Row],[Age]]&gt;60, "above 60"
)</f>
        <v>above 60</v>
      </c>
      <c r="D665">
        <v>1</v>
      </c>
      <c r="E665">
        <v>1</v>
      </c>
      <c r="F665">
        <v>0</v>
      </c>
      <c r="G66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65" s="1" t="s">
        <v>45</v>
      </c>
      <c r="I665" s="1" t="s">
        <v>15</v>
      </c>
      <c r="J665" s="1" t="s">
        <v>22</v>
      </c>
      <c r="K665">
        <v>1</v>
      </c>
    </row>
    <row r="666" spans="1:11" x14ac:dyDescent="0.3">
      <c r="A666" s="1" t="s">
        <v>13</v>
      </c>
      <c r="B666">
        <v>49</v>
      </c>
      <c r="C666" t="str" cm="1">
        <f t="array" ref="C666">_xlfn.IFS(
    Dataset[[#This Row],[Age]]&lt;=10, "0-10",
    AND(Dataset[[#This Row],[Age]]&gt;10, Dataset[[#This Row],[Age]]&lt;=18), "11-18",
    AND(Dataset[[#This Row],[Age]]&gt;18, Dataset[[#This Row],[Age]]&lt;=30), "19-30",
    AND(Dataset[[#This Row],[Age]]&gt;30, Dataset[[#This Row],[Age]]&lt;=60), "31-60",
    Dataset[[#This Row],[Age]]&gt;60, "above 60"
)</f>
        <v>31-60</v>
      </c>
      <c r="D666">
        <v>1</v>
      </c>
      <c r="E666">
        <v>1</v>
      </c>
      <c r="F666">
        <v>0</v>
      </c>
      <c r="G66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66" s="1" t="s">
        <v>14</v>
      </c>
      <c r="I666" s="1" t="s">
        <v>11</v>
      </c>
      <c r="J666" s="1" t="s">
        <v>12</v>
      </c>
      <c r="K666">
        <v>1</v>
      </c>
    </row>
    <row r="667" spans="1:11" x14ac:dyDescent="0.3">
      <c r="A667" s="1" t="s">
        <v>9</v>
      </c>
      <c r="B667">
        <v>55</v>
      </c>
      <c r="C667" t="str" cm="1">
        <f t="array" ref="C667">_xlfn.IFS(
    Dataset[[#This Row],[Age]]&lt;=10, "0-10",
    AND(Dataset[[#This Row],[Age]]&gt;10, Dataset[[#This Row],[Age]]&lt;=18), "11-18",
    AND(Dataset[[#This Row],[Age]]&gt;18, Dataset[[#This Row],[Age]]&lt;=30), "19-30",
    AND(Dataset[[#This Row],[Age]]&gt;30, Dataset[[#This Row],[Age]]&lt;=60), "31-60",
    Dataset[[#This Row],[Age]]&gt;60, "above 60"
)</f>
        <v>31-60</v>
      </c>
      <c r="D667">
        <v>0</v>
      </c>
      <c r="E667">
        <v>0</v>
      </c>
      <c r="F667">
        <v>0</v>
      </c>
      <c r="G66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67" s="1" t="s">
        <v>47</v>
      </c>
      <c r="I667" s="1" t="s">
        <v>15</v>
      </c>
      <c r="J667" s="1" t="s">
        <v>12</v>
      </c>
      <c r="K667">
        <v>0</v>
      </c>
    </row>
    <row r="668" spans="1:11" x14ac:dyDescent="0.3">
      <c r="A668" s="1" t="s">
        <v>9</v>
      </c>
      <c r="B668">
        <v>17</v>
      </c>
      <c r="C668" t="str" cm="1">
        <f t="array" ref="C668">_xlfn.IFS(
    Dataset[[#This Row],[Age]]&lt;=10, "0-10",
    AND(Dataset[[#This Row],[Age]]&gt;10, Dataset[[#This Row],[Age]]&lt;=18), "11-18",
    AND(Dataset[[#This Row],[Age]]&gt;18, Dataset[[#This Row],[Age]]&lt;=30), "19-30",
    AND(Dataset[[#This Row],[Age]]&gt;30, Dataset[[#This Row],[Age]]&lt;=60), "31-60",
    Dataset[[#This Row],[Age]]&gt;60, "above 60"
)</f>
        <v>11-18</v>
      </c>
      <c r="D668">
        <v>1</v>
      </c>
      <c r="E668">
        <v>1</v>
      </c>
      <c r="F668">
        <v>0</v>
      </c>
      <c r="G66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68" s="1" t="s">
        <v>37</v>
      </c>
      <c r="I668" s="1" t="s">
        <v>11</v>
      </c>
      <c r="J668" s="1" t="s">
        <v>17</v>
      </c>
      <c r="K668">
        <v>1</v>
      </c>
    </row>
    <row r="669" spans="1:11" x14ac:dyDescent="0.3">
      <c r="A669" s="1" t="s">
        <v>13</v>
      </c>
      <c r="B669">
        <v>17</v>
      </c>
      <c r="C669" t="str" cm="1">
        <f t="array" ref="C669">_xlfn.IFS(
    Dataset[[#This Row],[Age]]&lt;=10, "0-10",
    AND(Dataset[[#This Row],[Age]]&gt;10, Dataset[[#This Row],[Age]]&lt;=18), "11-18",
    AND(Dataset[[#This Row],[Age]]&gt;18, Dataset[[#This Row],[Age]]&lt;=30), "19-30",
    AND(Dataset[[#This Row],[Age]]&gt;30, Dataset[[#This Row],[Age]]&lt;=60), "31-60",
    Dataset[[#This Row],[Age]]&gt;60, "above 60"
)</f>
        <v>11-18</v>
      </c>
      <c r="D669">
        <v>0</v>
      </c>
      <c r="E669">
        <v>0</v>
      </c>
      <c r="F669">
        <v>1</v>
      </c>
      <c r="G66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69" s="1" t="s">
        <v>21</v>
      </c>
      <c r="I669" s="1" t="s">
        <v>15</v>
      </c>
      <c r="J669" s="1" t="s">
        <v>22</v>
      </c>
      <c r="K669">
        <v>0</v>
      </c>
    </row>
    <row r="670" spans="1:11" x14ac:dyDescent="0.3">
      <c r="A670" s="1" t="s">
        <v>13</v>
      </c>
      <c r="B670">
        <v>55</v>
      </c>
      <c r="C670" t="str" cm="1">
        <f t="array" ref="C670">_xlfn.IFS(
    Dataset[[#This Row],[Age]]&lt;=10, "0-10",
    AND(Dataset[[#This Row],[Age]]&gt;10, Dataset[[#This Row],[Age]]&lt;=18), "11-18",
    AND(Dataset[[#This Row],[Age]]&gt;18, Dataset[[#This Row],[Age]]&lt;=30), "19-30",
    AND(Dataset[[#This Row],[Age]]&gt;30, Dataset[[#This Row],[Age]]&lt;=60), "31-60",
    Dataset[[#This Row],[Age]]&gt;60, "above 60"
)</f>
        <v>31-60</v>
      </c>
      <c r="D670">
        <v>1</v>
      </c>
      <c r="E670">
        <v>1</v>
      </c>
      <c r="F670">
        <v>1</v>
      </c>
      <c r="G67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70" s="1" t="s">
        <v>32</v>
      </c>
      <c r="I670" s="1" t="s">
        <v>11</v>
      </c>
      <c r="J670" s="1" t="s">
        <v>12</v>
      </c>
      <c r="K670">
        <v>1</v>
      </c>
    </row>
    <row r="671" spans="1:11" x14ac:dyDescent="0.3">
      <c r="A671" s="1" t="s">
        <v>9</v>
      </c>
      <c r="B671">
        <v>57</v>
      </c>
      <c r="C671" t="str" cm="1">
        <f t="array" ref="C671">_xlfn.IFS(
    Dataset[[#This Row],[Age]]&lt;=10, "0-10",
    AND(Dataset[[#This Row],[Age]]&gt;10, Dataset[[#This Row],[Age]]&lt;=18), "11-18",
    AND(Dataset[[#This Row],[Age]]&gt;18, Dataset[[#This Row],[Age]]&lt;=30), "19-30",
    AND(Dataset[[#This Row],[Age]]&gt;30, Dataset[[#This Row],[Age]]&lt;=60), "31-60",
    Dataset[[#This Row],[Age]]&gt;60, "above 60"
)</f>
        <v>31-60</v>
      </c>
      <c r="D671">
        <v>1</v>
      </c>
      <c r="E671">
        <v>1</v>
      </c>
      <c r="F671">
        <v>0</v>
      </c>
      <c r="G67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71" s="1" t="s">
        <v>43</v>
      </c>
      <c r="I671" s="1" t="s">
        <v>15</v>
      </c>
      <c r="J671" s="1" t="s">
        <v>17</v>
      </c>
      <c r="K671">
        <v>1</v>
      </c>
    </row>
    <row r="672" spans="1:11" x14ac:dyDescent="0.3">
      <c r="A672" s="1" t="s">
        <v>13</v>
      </c>
      <c r="B672">
        <v>45</v>
      </c>
      <c r="C672" t="str" cm="1">
        <f t="array" ref="C672">_xlfn.IFS(
    Dataset[[#This Row],[Age]]&lt;=10, "0-10",
    AND(Dataset[[#This Row],[Age]]&gt;10, Dataset[[#This Row],[Age]]&lt;=18), "11-18",
    AND(Dataset[[#This Row],[Age]]&gt;18, Dataset[[#This Row],[Age]]&lt;=30), "19-30",
    AND(Dataset[[#This Row],[Age]]&gt;30, Dataset[[#This Row],[Age]]&lt;=60), "31-60",
    Dataset[[#This Row],[Age]]&gt;60, "above 60"
)</f>
        <v>31-60</v>
      </c>
      <c r="D672">
        <v>0</v>
      </c>
      <c r="E672">
        <v>0</v>
      </c>
      <c r="F672">
        <v>0</v>
      </c>
      <c r="G67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72" s="1" t="s">
        <v>25</v>
      </c>
      <c r="I672" s="1" t="s">
        <v>11</v>
      </c>
      <c r="J672" s="1" t="s">
        <v>22</v>
      </c>
      <c r="K672">
        <v>0</v>
      </c>
    </row>
    <row r="673" spans="1:11" x14ac:dyDescent="0.3">
      <c r="A673" s="1" t="s">
        <v>9</v>
      </c>
      <c r="B673">
        <v>37</v>
      </c>
      <c r="C673" t="str" cm="1">
        <f t="array" ref="C673">_xlfn.IFS(
    Dataset[[#This Row],[Age]]&lt;=10, "0-10",
    AND(Dataset[[#This Row],[Age]]&gt;10, Dataset[[#This Row],[Age]]&lt;=18), "11-18",
    AND(Dataset[[#This Row],[Age]]&gt;18, Dataset[[#This Row],[Age]]&lt;=30), "19-30",
    AND(Dataset[[#This Row],[Age]]&gt;30, Dataset[[#This Row],[Age]]&lt;=60), "31-60",
    Dataset[[#This Row],[Age]]&gt;60, "above 60"
)</f>
        <v>31-60</v>
      </c>
      <c r="D673">
        <v>0</v>
      </c>
      <c r="E673">
        <v>0</v>
      </c>
      <c r="F673">
        <v>0</v>
      </c>
      <c r="G67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73" s="1" t="s">
        <v>26</v>
      </c>
      <c r="I673" s="1" t="s">
        <v>15</v>
      </c>
      <c r="J673" s="1" t="s">
        <v>12</v>
      </c>
      <c r="K673">
        <v>0</v>
      </c>
    </row>
    <row r="674" spans="1:11" x14ac:dyDescent="0.3">
      <c r="A674" s="1" t="s">
        <v>13</v>
      </c>
      <c r="B674">
        <v>47</v>
      </c>
      <c r="C674" t="str" cm="1">
        <f t="array" ref="C674">_xlfn.IFS(
    Dataset[[#This Row],[Age]]&lt;=10, "0-10",
    AND(Dataset[[#This Row],[Age]]&gt;10, Dataset[[#This Row],[Age]]&lt;=18), "11-18",
    AND(Dataset[[#This Row],[Age]]&gt;18, Dataset[[#This Row],[Age]]&lt;=30), "19-30",
    AND(Dataset[[#This Row],[Age]]&gt;30, Dataset[[#This Row],[Age]]&lt;=60), "31-60",
    Dataset[[#This Row],[Age]]&gt;60, "above 60"
)</f>
        <v>31-60</v>
      </c>
      <c r="D674">
        <v>1</v>
      </c>
      <c r="E674">
        <v>1</v>
      </c>
      <c r="F674">
        <v>1</v>
      </c>
      <c r="G67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74" s="1" t="s">
        <v>32</v>
      </c>
      <c r="I674" s="1" t="s">
        <v>11</v>
      </c>
      <c r="J674" s="1" t="s">
        <v>17</v>
      </c>
      <c r="K674">
        <v>1</v>
      </c>
    </row>
    <row r="675" spans="1:11" x14ac:dyDescent="0.3">
      <c r="A675" s="1" t="s">
        <v>9</v>
      </c>
      <c r="B675">
        <v>49</v>
      </c>
      <c r="C675" t="str" cm="1">
        <f t="array" ref="C675">_xlfn.IFS(
    Dataset[[#This Row],[Age]]&lt;=10, "0-10",
    AND(Dataset[[#This Row],[Age]]&gt;10, Dataset[[#This Row],[Age]]&lt;=18), "11-18",
    AND(Dataset[[#This Row],[Age]]&gt;18, Dataset[[#This Row],[Age]]&lt;=30), "19-30",
    AND(Dataset[[#This Row],[Age]]&gt;30, Dataset[[#This Row],[Age]]&lt;=60), "31-60",
    Dataset[[#This Row],[Age]]&gt;60, "above 60"
)</f>
        <v>31-60</v>
      </c>
      <c r="D675">
        <v>1</v>
      </c>
      <c r="E675">
        <v>1</v>
      </c>
      <c r="F675">
        <v>1</v>
      </c>
      <c r="G67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75" s="1" t="s">
        <v>28</v>
      </c>
      <c r="I675" s="1" t="s">
        <v>15</v>
      </c>
      <c r="J675" s="1" t="s">
        <v>22</v>
      </c>
      <c r="K675">
        <v>1</v>
      </c>
    </row>
    <row r="676" spans="1:11" x14ac:dyDescent="0.3">
      <c r="A676" s="1" t="s">
        <v>9</v>
      </c>
      <c r="B676">
        <v>32</v>
      </c>
      <c r="C676" t="str" cm="1">
        <f t="array" ref="C676">_xlfn.IFS(
    Dataset[[#This Row],[Age]]&lt;=10, "0-10",
    AND(Dataset[[#This Row],[Age]]&gt;10, Dataset[[#This Row],[Age]]&lt;=18), "11-18",
    AND(Dataset[[#This Row],[Age]]&gt;18, Dataset[[#This Row],[Age]]&lt;=30), "19-30",
    AND(Dataset[[#This Row],[Age]]&gt;30, Dataset[[#This Row],[Age]]&lt;=60), "31-60",
    Dataset[[#This Row],[Age]]&gt;60, "above 60"
)</f>
        <v>31-60</v>
      </c>
      <c r="D676">
        <v>1</v>
      </c>
      <c r="E676">
        <v>1</v>
      </c>
      <c r="F676">
        <v>0</v>
      </c>
      <c r="G67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76" s="1" t="s">
        <v>29</v>
      </c>
      <c r="I676" s="1" t="s">
        <v>11</v>
      </c>
      <c r="J676" s="1" t="s">
        <v>22</v>
      </c>
      <c r="K676">
        <v>1</v>
      </c>
    </row>
    <row r="677" spans="1:11" x14ac:dyDescent="0.3">
      <c r="A677" s="1" t="s">
        <v>13</v>
      </c>
      <c r="B677">
        <v>33</v>
      </c>
      <c r="C677" t="str" cm="1">
        <f t="array" ref="C677">_xlfn.IFS(
    Dataset[[#This Row],[Age]]&lt;=10, "0-10",
    AND(Dataset[[#This Row],[Age]]&gt;10, Dataset[[#This Row],[Age]]&lt;=18), "11-18",
    AND(Dataset[[#This Row],[Age]]&gt;18, Dataset[[#This Row],[Age]]&lt;=30), "19-30",
    AND(Dataset[[#This Row],[Age]]&gt;30, Dataset[[#This Row],[Age]]&lt;=60), "31-60",
    Dataset[[#This Row],[Age]]&gt;60, "above 60"
)</f>
        <v>31-60</v>
      </c>
      <c r="D677">
        <v>1</v>
      </c>
      <c r="E677">
        <v>1</v>
      </c>
      <c r="F677">
        <v>0</v>
      </c>
      <c r="G67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77" s="1" t="s">
        <v>30</v>
      </c>
      <c r="I677" s="1" t="s">
        <v>15</v>
      </c>
      <c r="J677" s="1" t="s">
        <v>12</v>
      </c>
      <c r="K677">
        <v>1</v>
      </c>
    </row>
    <row r="678" spans="1:11" x14ac:dyDescent="0.3">
      <c r="A678" s="1" t="s">
        <v>9</v>
      </c>
      <c r="B678">
        <v>25</v>
      </c>
      <c r="C678" t="str" cm="1">
        <f t="array" ref="C678">_xlfn.IFS(
    Dataset[[#This Row],[Age]]&lt;=10, "0-10",
    AND(Dataset[[#This Row],[Age]]&gt;10, Dataset[[#This Row],[Age]]&lt;=18), "11-18",
    AND(Dataset[[#This Row],[Age]]&gt;18, Dataset[[#This Row],[Age]]&lt;=30), "19-30",
    AND(Dataset[[#This Row],[Age]]&gt;30, Dataset[[#This Row],[Age]]&lt;=60), "31-60",
    Dataset[[#This Row],[Age]]&gt;60, "above 60"
)</f>
        <v>19-30</v>
      </c>
      <c r="D678">
        <v>0</v>
      </c>
      <c r="E678">
        <v>0</v>
      </c>
      <c r="F678">
        <v>0</v>
      </c>
      <c r="G67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78" s="1" t="s">
        <v>32</v>
      </c>
      <c r="I678" s="1" t="s">
        <v>11</v>
      </c>
      <c r="J678" s="1" t="s">
        <v>17</v>
      </c>
      <c r="K678">
        <v>0</v>
      </c>
    </row>
    <row r="679" spans="1:11" x14ac:dyDescent="0.3">
      <c r="A679" s="1" t="s">
        <v>13</v>
      </c>
      <c r="B679">
        <v>24</v>
      </c>
      <c r="C679" t="str" cm="1">
        <f t="array" ref="C679">_xlfn.IFS(
    Dataset[[#This Row],[Age]]&lt;=10, "0-10",
    AND(Dataset[[#This Row],[Age]]&gt;10, Dataset[[#This Row],[Age]]&lt;=18), "11-18",
    AND(Dataset[[#This Row],[Age]]&gt;18, Dataset[[#This Row],[Age]]&lt;=30), "19-30",
    AND(Dataset[[#This Row],[Age]]&gt;30, Dataset[[#This Row],[Age]]&lt;=60), "31-60",
    Dataset[[#This Row],[Age]]&gt;60, "above 60"
)</f>
        <v>19-30</v>
      </c>
      <c r="D679">
        <v>0</v>
      </c>
      <c r="E679">
        <v>0</v>
      </c>
      <c r="F679">
        <v>0</v>
      </c>
      <c r="G67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79" s="1" t="s">
        <v>44</v>
      </c>
      <c r="I679" s="1" t="s">
        <v>15</v>
      </c>
      <c r="J679" s="1" t="s">
        <v>12</v>
      </c>
      <c r="K679">
        <v>0</v>
      </c>
    </row>
    <row r="680" spans="1:11" x14ac:dyDescent="0.3">
      <c r="A680" s="1" t="s">
        <v>13</v>
      </c>
      <c r="B680">
        <v>22</v>
      </c>
      <c r="C680" t="str" cm="1">
        <f t="array" ref="C680">_xlfn.IFS(
    Dataset[[#This Row],[Age]]&lt;=10, "0-10",
    AND(Dataset[[#This Row],[Age]]&gt;10, Dataset[[#This Row],[Age]]&lt;=18), "11-18",
    AND(Dataset[[#This Row],[Age]]&gt;18, Dataset[[#This Row],[Age]]&lt;=30), "19-30",
    AND(Dataset[[#This Row],[Age]]&gt;30, Dataset[[#This Row],[Age]]&lt;=60), "31-60",
    Dataset[[#This Row],[Age]]&gt;60, "above 60"
)</f>
        <v>19-30</v>
      </c>
      <c r="D680">
        <v>0</v>
      </c>
      <c r="E680">
        <v>0</v>
      </c>
      <c r="F680">
        <v>0</v>
      </c>
      <c r="G68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80" s="1" t="s">
        <v>48</v>
      </c>
      <c r="I680" s="1" t="s">
        <v>11</v>
      </c>
      <c r="J680" s="1" t="s">
        <v>12</v>
      </c>
      <c r="K680">
        <v>0</v>
      </c>
    </row>
    <row r="681" spans="1:11" x14ac:dyDescent="0.3">
      <c r="A681" s="1" t="s">
        <v>9</v>
      </c>
      <c r="B681">
        <v>52</v>
      </c>
      <c r="C681" t="str" cm="1">
        <f t="array" ref="C681">_xlfn.IFS(
    Dataset[[#This Row],[Age]]&lt;=10, "0-10",
    AND(Dataset[[#This Row],[Age]]&gt;10, Dataset[[#This Row],[Age]]&lt;=18), "11-18",
    AND(Dataset[[#This Row],[Age]]&gt;18, Dataset[[#This Row],[Age]]&lt;=30), "19-30",
    AND(Dataset[[#This Row],[Age]]&gt;30, Dataset[[#This Row],[Age]]&lt;=60), "31-60",
    Dataset[[#This Row],[Age]]&gt;60, "above 60"
)</f>
        <v>31-60</v>
      </c>
      <c r="D681">
        <v>1</v>
      </c>
      <c r="E681">
        <v>1</v>
      </c>
      <c r="F681">
        <v>1</v>
      </c>
      <c r="G68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81" s="1" t="s">
        <v>18</v>
      </c>
      <c r="I681" s="1" t="s">
        <v>15</v>
      </c>
      <c r="J681" s="1" t="s">
        <v>12</v>
      </c>
      <c r="K681">
        <v>1</v>
      </c>
    </row>
    <row r="682" spans="1:11" x14ac:dyDescent="0.3">
      <c r="A682" s="1" t="s">
        <v>9</v>
      </c>
      <c r="B682">
        <v>16</v>
      </c>
      <c r="C682" t="str" cm="1">
        <f t="array" ref="C682">_xlfn.IFS(
    Dataset[[#This Row],[Age]]&lt;=10, "0-10",
    AND(Dataset[[#This Row],[Age]]&gt;10, Dataset[[#This Row],[Age]]&lt;=18), "11-18",
    AND(Dataset[[#This Row],[Age]]&gt;18, Dataset[[#This Row],[Age]]&lt;=30), "19-30",
    AND(Dataset[[#This Row],[Age]]&gt;30, Dataset[[#This Row],[Age]]&lt;=60), "31-60",
    Dataset[[#This Row],[Age]]&gt;60, "above 60"
)</f>
        <v>11-18</v>
      </c>
      <c r="D682">
        <v>1</v>
      </c>
      <c r="E682">
        <v>1</v>
      </c>
      <c r="F682">
        <v>0</v>
      </c>
      <c r="G68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82" s="1" t="s">
        <v>24</v>
      </c>
      <c r="I682" s="1" t="s">
        <v>11</v>
      </c>
      <c r="J682" s="1" t="s">
        <v>22</v>
      </c>
      <c r="K682">
        <v>1</v>
      </c>
    </row>
    <row r="683" spans="1:11" x14ac:dyDescent="0.3">
      <c r="A683" s="1" t="s">
        <v>9</v>
      </c>
      <c r="B683">
        <v>19</v>
      </c>
      <c r="C683" t="str" cm="1">
        <f t="array" ref="C683">_xlfn.IFS(
    Dataset[[#This Row],[Age]]&lt;=10, "0-10",
    AND(Dataset[[#This Row],[Age]]&gt;10, Dataset[[#This Row],[Age]]&lt;=18), "11-18",
    AND(Dataset[[#This Row],[Age]]&gt;18, Dataset[[#This Row],[Age]]&lt;=30), "19-30",
    AND(Dataset[[#This Row],[Age]]&gt;30, Dataset[[#This Row],[Age]]&lt;=60), "31-60",
    Dataset[[#This Row],[Age]]&gt;60, "above 60"
)</f>
        <v>19-30</v>
      </c>
      <c r="D683">
        <v>0</v>
      </c>
      <c r="E683">
        <v>0</v>
      </c>
      <c r="F683">
        <v>0</v>
      </c>
      <c r="G68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83" s="1" t="s">
        <v>20</v>
      </c>
      <c r="I683" s="1" t="s">
        <v>15</v>
      </c>
      <c r="J683" s="1" t="s">
        <v>12</v>
      </c>
      <c r="K683">
        <v>0</v>
      </c>
    </row>
    <row r="684" spans="1:11" x14ac:dyDescent="0.3">
      <c r="A684" s="1" t="s">
        <v>9</v>
      </c>
      <c r="B684">
        <v>31</v>
      </c>
      <c r="C684" t="str" cm="1">
        <f t="array" ref="C684">_xlfn.IFS(
    Dataset[[#This Row],[Age]]&lt;=10, "0-10",
    AND(Dataset[[#This Row],[Age]]&gt;10, Dataset[[#This Row],[Age]]&lt;=18), "11-18",
    AND(Dataset[[#This Row],[Age]]&gt;18, Dataset[[#This Row],[Age]]&lt;=30), "19-30",
    AND(Dataset[[#This Row],[Age]]&gt;30, Dataset[[#This Row],[Age]]&lt;=60), "31-60",
    Dataset[[#This Row],[Age]]&gt;60, "above 60"
)</f>
        <v>31-60</v>
      </c>
      <c r="D684">
        <v>0</v>
      </c>
      <c r="E684">
        <v>0</v>
      </c>
      <c r="F684">
        <v>1</v>
      </c>
      <c r="G68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84" s="1" t="s">
        <v>21</v>
      </c>
      <c r="I684" s="1" t="s">
        <v>11</v>
      </c>
      <c r="J684" s="1" t="s">
        <v>17</v>
      </c>
      <c r="K684">
        <v>0</v>
      </c>
    </row>
    <row r="685" spans="1:11" x14ac:dyDescent="0.3">
      <c r="A685" s="1" t="s">
        <v>13</v>
      </c>
      <c r="B685">
        <v>46</v>
      </c>
      <c r="C685" t="str" cm="1">
        <f t="array" ref="C685">_xlfn.IFS(
    Dataset[[#This Row],[Age]]&lt;=10, "0-10",
    AND(Dataset[[#This Row],[Age]]&gt;10, Dataset[[#This Row],[Age]]&lt;=18), "11-18",
    AND(Dataset[[#This Row],[Age]]&gt;18, Dataset[[#This Row],[Age]]&lt;=30), "19-30",
    AND(Dataset[[#This Row],[Age]]&gt;30, Dataset[[#This Row],[Age]]&lt;=60), "31-60",
    Dataset[[#This Row],[Age]]&gt;60, "above 60"
)</f>
        <v>31-60</v>
      </c>
      <c r="D685">
        <v>0</v>
      </c>
      <c r="E685">
        <v>0</v>
      </c>
      <c r="F685">
        <v>1</v>
      </c>
      <c r="G68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85" s="1" t="s">
        <v>45</v>
      </c>
      <c r="I685" s="1" t="s">
        <v>15</v>
      </c>
      <c r="J685" s="1" t="s">
        <v>17</v>
      </c>
      <c r="K685">
        <v>0</v>
      </c>
    </row>
    <row r="686" spans="1:11" x14ac:dyDescent="0.3">
      <c r="A686" s="1" t="s">
        <v>13</v>
      </c>
      <c r="B686">
        <v>61</v>
      </c>
      <c r="C686" t="str" cm="1">
        <f t="array" ref="C686">_xlfn.IFS(
    Dataset[[#This Row],[Age]]&lt;=10, "0-10",
    AND(Dataset[[#This Row],[Age]]&gt;10, Dataset[[#This Row],[Age]]&lt;=18), "11-18",
    AND(Dataset[[#This Row],[Age]]&gt;18, Dataset[[#This Row],[Age]]&lt;=30), "19-30",
    AND(Dataset[[#This Row],[Age]]&gt;30, Dataset[[#This Row],[Age]]&lt;=60), "31-60",
    Dataset[[#This Row],[Age]]&gt;60, "above 60"
)</f>
        <v>above 60</v>
      </c>
      <c r="D686">
        <v>1</v>
      </c>
      <c r="E686">
        <v>1</v>
      </c>
      <c r="F686">
        <v>0</v>
      </c>
      <c r="G68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86" s="1" t="s">
        <v>34</v>
      </c>
      <c r="I686" s="1" t="s">
        <v>11</v>
      </c>
      <c r="J686" s="1" t="s">
        <v>22</v>
      </c>
      <c r="K686">
        <v>1</v>
      </c>
    </row>
    <row r="687" spans="1:11" x14ac:dyDescent="0.3">
      <c r="A687" s="1" t="s">
        <v>9</v>
      </c>
      <c r="B687">
        <v>35</v>
      </c>
      <c r="C687" t="str" cm="1">
        <f t="array" ref="C687">_xlfn.IFS(
    Dataset[[#This Row],[Age]]&lt;=10, "0-10",
    AND(Dataset[[#This Row],[Age]]&gt;10, Dataset[[#This Row],[Age]]&lt;=18), "11-18",
    AND(Dataset[[#This Row],[Age]]&gt;18, Dataset[[#This Row],[Age]]&lt;=30), "19-30",
    AND(Dataset[[#This Row],[Age]]&gt;30, Dataset[[#This Row],[Age]]&lt;=60), "31-60",
    Dataset[[#This Row],[Age]]&gt;60, "above 60"
)</f>
        <v>31-60</v>
      </c>
      <c r="D687">
        <v>0</v>
      </c>
      <c r="E687">
        <v>0</v>
      </c>
      <c r="F687">
        <v>0</v>
      </c>
      <c r="G68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87" s="1" t="s">
        <v>34</v>
      </c>
      <c r="I687" s="1" t="s">
        <v>15</v>
      </c>
      <c r="J687" s="1" t="s">
        <v>22</v>
      </c>
      <c r="K687">
        <v>0</v>
      </c>
    </row>
    <row r="688" spans="1:11" x14ac:dyDescent="0.3">
      <c r="A688" s="1" t="s">
        <v>9</v>
      </c>
      <c r="B688">
        <v>44</v>
      </c>
      <c r="C688" t="str" cm="1">
        <f t="array" ref="C688">_xlfn.IFS(
    Dataset[[#This Row],[Age]]&lt;=10, "0-10",
    AND(Dataset[[#This Row],[Age]]&gt;10, Dataset[[#This Row],[Age]]&lt;=18), "11-18",
    AND(Dataset[[#This Row],[Age]]&gt;18, Dataset[[#This Row],[Age]]&lt;=30), "19-30",
    AND(Dataset[[#This Row],[Age]]&gt;30, Dataset[[#This Row],[Age]]&lt;=60), "31-60",
    Dataset[[#This Row],[Age]]&gt;60, "above 60"
)</f>
        <v>31-60</v>
      </c>
      <c r="D688">
        <v>1</v>
      </c>
      <c r="E688">
        <v>1</v>
      </c>
      <c r="F688">
        <v>1</v>
      </c>
      <c r="G68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88" s="1" t="s">
        <v>24</v>
      </c>
      <c r="I688" s="1" t="s">
        <v>11</v>
      </c>
      <c r="J688" s="1" t="s">
        <v>17</v>
      </c>
      <c r="K688">
        <v>1</v>
      </c>
    </row>
    <row r="689" spans="1:11" x14ac:dyDescent="0.3">
      <c r="A689" s="1" t="s">
        <v>9</v>
      </c>
      <c r="B689">
        <v>12</v>
      </c>
      <c r="C689" t="str" cm="1">
        <f t="array" ref="C689">_xlfn.IFS(
    Dataset[[#This Row],[Age]]&lt;=10, "0-10",
    AND(Dataset[[#This Row],[Age]]&gt;10, Dataset[[#This Row],[Age]]&lt;=18), "11-18",
    AND(Dataset[[#This Row],[Age]]&gt;18, Dataset[[#This Row],[Age]]&lt;=30), "19-30",
    AND(Dataset[[#This Row],[Age]]&gt;30, Dataset[[#This Row],[Age]]&lt;=60), "31-60",
    Dataset[[#This Row],[Age]]&gt;60, "above 60"
)</f>
        <v>11-18</v>
      </c>
      <c r="D689">
        <v>0</v>
      </c>
      <c r="E689">
        <v>0</v>
      </c>
      <c r="F689">
        <v>1</v>
      </c>
      <c r="G68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89" s="1" t="s">
        <v>36</v>
      </c>
      <c r="I689" s="1" t="s">
        <v>15</v>
      </c>
      <c r="J689" s="1" t="s">
        <v>22</v>
      </c>
      <c r="K689">
        <v>0</v>
      </c>
    </row>
    <row r="690" spans="1:11" x14ac:dyDescent="0.3">
      <c r="A690" s="1" t="s">
        <v>13</v>
      </c>
      <c r="B690">
        <v>51</v>
      </c>
      <c r="C690" t="str" cm="1">
        <f t="array" ref="C690">_xlfn.IFS(
    Dataset[[#This Row],[Age]]&lt;=10, "0-10",
    AND(Dataset[[#This Row],[Age]]&gt;10, Dataset[[#This Row],[Age]]&lt;=18), "11-18",
    AND(Dataset[[#This Row],[Age]]&gt;18, Dataset[[#This Row],[Age]]&lt;=30), "19-30",
    AND(Dataset[[#This Row],[Age]]&gt;30, Dataset[[#This Row],[Age]]&lt;=60), "31-60",
    Dataset[[#This Row],[Age]]&gt;60, "above 60"
)</f>
        <v>31-60</v>
      </c>
      <c r="D690">
        <v>1</v>
      </c>
      <c r="E690">
        <v>1</v>
      </c>
      <c r="F690">
        <v>0</v>
      </c>
      <c r="G69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90" s="1" t="s">
        <v>25</v>
      </c>
      <c r="I690" s="1" t="s">
        <v>11</v>
      </c>
      <c r="J690" s="1" t="s">
        <v>17</v>
      </c>
      <c r="K690">
        <v>1</v>
      </c>
    </row>
    <row r="691" spans="1:11" x14ac:dyDescent="0.3">
      <c r="A691" s="1" t="s">
        <v>9</v>
      </c>
      <c r="B691">
        <v>33</v>
      </c>
      <c r="C691" t="str" cm="1">
        <f t="array" ref="C691">_xlfn.IFS(
    Dataset[[#This Row],[Age]]&lt;=10, "0-10",
    AND(Dataset[[#This Row],[Age]]&gt;10, Dataset[[#This Row],[Age]]&lt;=18), "11-18",
    AND(Dataset[[#This Row],[Age]]&gt;18, Dataset[[#This Row],[Age]]&lt;=30), "19-30",
    AND(Dataset[[#This Row],[Age]]&gt;30, Dataset[[#This Row],[Age]]&lt;=60), "31-60",
    Dataset[[#This Row],[Age]]&gt;60, "above 60"
)</f>
        <v>31-60</v>
      </c>
      <c r="D691">
        <v>1</v>
      </c>
      <c r="E691">
        <v>1</v>
      </c>
      <c r="F691">
        <v>1</v>
      </c>
      <c r="G69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91" s="1" t="s">
        <v>26</v>
      </c>
      <c r="I691" s="1" t="s">
        <v>15</v>
      </c>
      <c r="J691" s="1" t="s">
        <v>17</v>
      </c>
      <c r="K691">
        <v>1</v>
      </c>
    </row>
    <row r="692" spans="1:11" x14ac:dyDescent="0.3">
      <c r="A692" s="1" t="s">
        <v>9</v>
      </c>
      <c r="B692">
        <v>53</v>
      </c>
      <c r="C692" t="str" cm="1">
        <f t="array" ref="C692">_xlfn.IFS(
    Dataset[[#This Row],[Age]]&lt;=10, "0-10",
    AND(Dataset[[#This Row],[Age]]&gt;10, Dataset[[#This Row],[Age]]&lt;=18), "11-18",
    AND(Dataset[[#This Row],[Age]]&gt;18, Dataset[[#This Row],[Age]]&lt;=30), "19-30",
    AND(Dataset[[#This Row],[Age]]&gt;30, Dataset[[#This Row],[Age]]&lt;=60), "31-60",
    Dataset[[#This Row],[Age]]&gt;60, "above 60"
)</f>
        <v>31-60</v>
      </c>
      <c r="D692">
        <v>1</v>
      </c>
      <c r="E692">
        <v>1</v>
      </c>
      <c r="F692">
        <v>1</v>
      </c>
      <c r="G69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92" s="1" t="s">
        <v>31</v>
      </c>
      <c r="I692" s="1" t="s">
        <v>11</v>
      </c>
      <c r="J692" s="1" t="s">
        <v>12</v>
      </c>
      <c r="K692">
        <v>1</v>
      </c>
    </row>
    <row r="693" spans="1:11" x14ac:dyDescent="0.3">
      <c r="A693" s="1" t="s">
        <v>13</v>
      </c>
      <c r="B693">
        <v>22</v>
      </c>
      <c r="C693" t="str" cm="1">
        <f t="array" ref="C693">_xlfn.IFS(
    Dataset[[#This Row],[Age]]&lt;=10, "0-10",
    AND(Dataset[[#This Row],[Age]]&gt;10, Dataset[[#This Row],[Age]]&lt;=18), "11-18",
    AND(Dataset[[#This Row],[Age]]&gt;18, Dataset[[#This Row],[Age]]&lt;=30), "19-30",
    AND(Dataset[[#This Row],[Age]]&gt;30, Dataset[[#This Row],[Age]]&lt;=60), "31-60",
    Dataset[[#This Row],[Age]]&gt;60, "above 60"
)</f>
        <v>19-30</v>
      </c>
      <c r="D693">
        <v>0</v>
      </c>
      <c r="E693">
        <v>0</v>
      </c>
      <c r="F693">
        <v>0</v>
      </c>
      <c r="G69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93" s="1" t="s">
        <v>39</v>
      </c>
      <c r="I693" s="1" t="s">
        <v>15</v>
      </c>
      <c r="J693" s="1" t="s">
        <v>22</v>
      </c>
      <c r="K693">
        <v>0</v>
      </c>
    </row>
    <row r="694" spans="1:11" x14ac:dyDescent="0.3">
      <c r="A694" s="1" t="s">
        <v>13</v>
      </c>
      <c r="B694">
        <v>32</v>
      </c>
      <c r="C694" t="str" cm="1">
        <f t="array" ref="C694">_xlfn.IFS(
    Dataset[[#This Row],[Age]]&lt;=10, "0-10",
    AND(Dataset[[#This Row],[Age]]&gt;10, Dataset[[#This Row],[Age]]&lt;=18), "11-18",
    AND(Dataset[[#This Row],[Age]]&gt;18, Dataset[[#This Row],[Age]]&lt;=30), "19-30",
    AND(Dataset[[#This Row],[Age]]&gt;30, Dataset[[#This Row],[Age]]&lt;=60), "31-60",
    Dataset[[#This Row],[Age]]&gt;60, "above 60"
)</f>
        <v>31-60</v>
      </c>
      <c r="D694">
        <v>0</v>
      </c>
      <c r="E694">
        <v>0</v>
      </c>
      <c r="F694">
        <v>0</v>
      </c>
      <c r="G69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94" s="1" t="s">
        <v>33</v>
      </c>
      <c r="I694" s="1" t="s">
        <v>11</v>
      </c>
      <c r="J694" s="1" t="s">
        <v>17</v>
      </c>
      <c r="K694">
        <v>0</v>
      </c>
    </row>
    <row r="695" spans="1:11" x14ac:dyDescent="0.3">
      <c r="A695" s="1" t="s">
        <v>13</v>
      </c>
      <c r="B695">
        <v>36</v>
      </c>
      <c r="C695" t="str" cm="1">
        <f t="array" ref="C695">_xlfn.IFS(
    Dataset[[#This Row],[Age]]&lt;=10, "0-10",
    AND(Dataset[[#This Row],[Age]]&gt;10, Dataset[[#This Row],[Age]]&lt;=18), "11-18",
    AND(Dataset[[#This Row],[Age]]&gt;18, Dataset[[#This Row],[Age]]&lt;=30), "19-30",
    AND(Dataset[[#This Row],[Age]]&gt;30, Dataset[[#This Row],[Age]]&lt;=60), "31-60",
    Dataset[[#This Row],[Age]]&gt;60, "above 60"
)</f>
        <v>31-60</v>
      </c>
      <c r="D695">
        <v>0</v>
      </c>
      <c r="E695">
        <v>0</v>
      </c>
      <c r="F695">
        <v>1</v>
      </c>
      <c r="G69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95" s="1" t="s">
        <v>35</v>
      </c>
      <c r="I695" s="1" t="s">
        <v>15</v>
      </c>
      <c r="J695" s="1" t="s">
        <v>22</v>
      </c>
      <c r="K695">
        <v>0</v>
      </c>
    </row>
    <row r="696" spans="1:11" x14ac:dyDescent="0.3">
      <c r="A696" s="1" t="s">
        <v>9</v>
      </c>
      <c r="B696">
        <v>14</v>
      </c>
      <c r="C696" t="str" cm="1">
        <f t="array" ref="C696">_xlfn.IFS(
    Dataset[[#This Row],[Age]]&lt;=10, "0-10",
    AND(Dataset[[#This Row],[Age]]&gt;10, Dataset[[#This Row],[Age]]&lt;=18), "11-18",
    AND(Dataset[[#This Row],[Age]]&gt;18, Dataset[[#This Row],[Age]]&lt;=30), "19-30",
    AND(Dataset[[#This Row],[Age]]&gt;30, Dataset[[#This Row],[Age]]&lt;=60), "31-60",
    Dataset[[#This Row],[Age]]&gt;60, "above 60"
)</f>
        <v>11-18</v>
      </c>
      <c r="D696">
        <v>0</v>
      </c>
      <c r="E696">
        <v>0</v>
      </c>
      <c r="F696">
        <v>0</v>
      </c>
      <c r="G69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96" s="1" t="s">
        <v>21</v>
      </c>
      <c r="I696" s="1" t="s">
        <v>11</v>
      </c>
      <c r="J696" s="1" t="s">
        <v>22</v>
      </c>
      <c r="K696">
        <v>0</v>
      </c>
    </row>
    <row r="697" spans="1:11" x14ac:dyDescent="0.3">
      <c r="A697" s="1" t="s">
        <v>13</v>
      </c>
      <c r="B697">
        <v>18</v>
      </c>
      <c r="C697" t="str" cm="1">
        <f t="array" ref="C697">_xlfn.IFS(
    Dataset[[#This Row],[Age]]&lt;=10, "0-10",
    AND(Dataset[[#This Row],[Age]]&gt;10, Dataset[[#This Row],[Age]]&lt;=18), "11-18",
    AND(Dataset[[#This Row],[Age]]&gt;18, Dataset[[#This Row],[Age]]&lt;=30), "19-30",
    AND(Dataset[[#This Row],[Age]]&gt;30, Dataset[[#This Row],[Age]]&lt;=60), "31-60",
    Dataset[[#This Row],[Age]]&gt;60, "above 60"
)</f>
        <v>11-18</v>
      </c>
      <c r="D697">
        <v>1</v>
      </c>
      <c r="E697">
        <v>1</v>
      </c>
      <c r="F697">
        <v>0</v>
      </c>
      <c r="G69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97" s="1" t="s">
        <v>37</v>
      </c>
      <c r="I697" s="1" t="s">
        <v>15</v>
      </c>
      <c r="J697" s="1" t="s">
        <v>17</v>
      </c>
      <c r="K697">
        <v>1</v>
      </c>
    </row>
    <row r="698" spans="1:11" x14ac:dyDescent="0.3">
      <c r="A698" s="1" t="s">
        <v>13</v>
      </c>
      <c r="B698">
        <v>52</v>
      </c>
      <c r="C698" t="str" cm="1">
        <f t="array" ref="C698">_xlfn.IFS(
    Dataset[[#This Row],[Age]]&lt;=10, "0-10",
    AND(Dataset[[#This Row],[Age]]&gt;10, Dataset[[#This Row],[Age]]&lt;=18), "11-18",
    AND(Dataset[[#This Row],[Age]]&gt;18, Dataset[[#This Row],[Age]]&lt;=30), "19-30",
    AND(Dataset[[#This Row],[Age]]&gt;30, Dataset[[#This Row],[Age]]&lt;=60), "31-60",
    Dataset[[#This Row],[Age]]&gt;60, "above 60"
)</f>
        <v>31-60</v>
      </c>
      <c r="D698">
        <v>1</v>
      </c>
      <c r="E698">
        <v>1</v>
      </c>
      <c r="F698">
        <v>1</v>
      </c>
      <c r="G69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698" s="1" t="s">
        <v>45</v>
      </c>
      <c r="I698" s="1" t="s">
        <v>11</v>
      </c>
      <c r="J698" s="1" t="s">
        <v>12</v>
      </c>
      <c r="K698">
        <v>1</v>
      </c>
    </row>
    <row r="699" spans="1:11" x14ac:dyDescent="0.3">
      <c r="A699" s="1" t="s">
        <v>9</v>
      </c>
      <c r="B699">
        <v>62</v>
      </c>
      <c r="C699" t="str" cm="1">
        <f t="array" ref="C699">_xlfn.IFS(
    Dataset[[#This Row],[Age]]&lt;=10, "0-10",
    AND(Dataset[[#This Row],[Age]]&gt;10, Dataset[[#This Row],[Age]]&lt;=18), "11-18",
    AND(Dataset[[#This Row],[Age]]&gt;18, Dataset[[#This Row],[Age]]&lt;=30), "19-30",
    AND(Dataset[[#This Row],[Age]]&gt;30, Dataset[[#This Row],[Age]]&lt;=60), "31-60",
    Dataset[[#This Row],[Age]]&gt;60, "above 60"
)</f>
        <v>above 60</v>
      </c>
      <c r="D699">
        <v>0</v>
      </c>
      <c r="E699">
        <v>0</v>
      </c>
      <c r="F699">
        <v>1</v>
      </c>
      <c r="G69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699" s="1" t="s">
        <v>29</v>
      </c>
      <c r="I699" s="1" t="s">
        <v>15</v>
      </c>
      <c r="J699" s="1" t="s">
        <v>12</v>
      </c>
      <c r="K699">
        <v>0</v>
      </c>
    </row>
    <row r="700" spans="1:11" x14ac:dyDescent="0.3">
      <c r="A700" s="1" t="s">
        <v>9</v>
      </c>
      <c r="B700">
        <v>41</v>
      </c>
      <c r="C700" t="str" cm="1">
        <f t="array" ref="C700">_xlfn.IFS(
    Dataset[[#This Row],[Age]]&lt;=10, "0-10",
    AND(Dataset[[#This Row],[Age]]&gt;10, Dataset[[#This Row],[Age]]&lt;=18), "11-18",
    AND(Dataset[[#This Row],[Age]]&gt;18, Dataset[[#This Row],[Age]]&lt;=30), "19-30",
    AND(Dataset[[#This Row],[Age]]&gt;30, Dataset[[#This Row],[Age]]&lt;=60), "31-60",
    Dataset[[#This Row],[Age]]&gt;60, "above 60"
)</f>
        <v>31-60</v>
      </c>
      <c r="D700">
        <v>0</v>
      </c>
      <c r="E700">
        <v>0</v>
      </c>
      <c r="F700">
        <v>1</v>
      </c>
      <c r="G70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00" s="1" t="s">
        <v>45</v>
      </c>
      <c r="I700" s="1" t="s">
        <v>11</v>
      </c>
      <c r="J700" s="1" t="s">
        <v>17</v>
      </c>
      <c r="K700">
        <v>0</v>
      </c>
    </row>
    <row r="701" spans="1:11" x14ac:dyDescent="0.3">
      <c r="A701" s="1" t="s">
        <v>9</v>
      </c>
      <c r="B701">
        <v>25</v>
      </c>
      <c r="C701" t="str" cm="1">
        <f t="array" ref="C701">_xlfn.IFS(
    Dataset[[#This Row],[Age]]&lt;=10, "0-10",
    AND(Dataset[[#This Row],[Age]]&gt;10, Dataset[[#This Row],[Age]]&lt;=18), "11-18",
    AND(Dataset[[#This Row],[Age]]&gt;18, Dataset[[#This Row],[Age]]&lt;=30), "19-30",
    AND(Dataset[[#This Row],[Age]]&gt;30, Dataset[[#This Row],[Age]]&lt;=60), "31-60",
    Dataset[[#This Row],[Age]]&gt;60, "above 60"
)</f>
        <v>19-30</v>
      </c>
      <c r="D701">
        <v>0</v>
      </c>
      <c r="E701">
        <v>0</v>
      </c>
      <c r="F701">
        <v>1</v>
      </c>
      <c r="G70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01" s="1" t="s">
        <v>24</v>
      </c>
      <c r="I701" s="1" t="s">
        <v>15</v>
      </c>
      <c r="J701" s="1" t="s">
        <v>17</v>
      </c>
      <c r="K701">
        <v>0</v>
      </c>
    </row>
    <row r="702" spans="1:11" x14ac:dyDescent="0.3">
      <c r="A702" s="1" t="s">
        <v>13</v>
      </c>
      <c r="B702">
        <v>31</v>
      </c>
      <c r="C702" t="str" cm="1">
        <f t="array" ref="C702">_xlfn.IFS(
    Dataset[[#This Row],[Age]]&lt;=10, "0-10",
    AND(Dataset[[#This Row],[Age]]&gt;10, Dataset[[#This Row],[Age]]&lt;=18), "11-18",
    AND(Dataset[[#This Row],[Age]]&gt;18, Dataset[[#This Row],[Age]]&lt;=30), "19-30",
    AND(Dataset[[#This Row],[Age]]&gt;30, Dataset[[#This Row],[Age]]&lt;=60), "31-60",
    Dataset[[#This Row],[Age]]&gt;60, "above 60"
)</f>
        <v>31-60</v>
      </c>
      <c r="D702">
        <v>1</v>
      </c>
      <c r="E702">
        <v>1</v>
      </c>
      <c r="F702">
        <v>0</v>
      </c>
      <c r="G70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02" s="1" t="s">
        <v>42</v>
      </c>
      <c r="I702" s="1" t="s">
        <v>11</v>
      </c>
      <c r="J702" s="1" t="s">
        <v>17</v>
      </c>
      <c r="K702">
        <v>1</v>
      </c>
    </row>
    <row r="703" spans="1:11" x14ac:dyDescent="0.3">
      <c r="A703" s="1" t="s">
        <v>9</v>
      </c>
      <c r="B703">
        <v>39</v>
      </c>
      <c r="C703" t="str" cm="1">
        <f t="array" ref="C703">_xlfn.IFS(
    Dataset[[#This Row],[Age]]&lt;=10, "0-10",
    AND(Dataset[[#This Row],[Age]]&gt;10, Dataset[[#This Row],[Age]]&lt;=18), "11-18",
    AND(Dataset[[#This Row],[Age]]&gt;18, Dataset[[#This Row],[Age]]&lt;=30), "19-30",
    AND(Dataset[[#This Row],[Age]]&gt;30, Dataset[[#This Row],[Age]]&lt;=60), "31-60",
    Dataset[[#This Row],[Age]]&gt;60, "above 60"
)</f>
        <v>31-60</v>
      </c>
      <c r="D703">
        <v>1</v>
      </c>
      <c r="E703">
        <v>1</v>
      </c>
      <c r="F703">
        <v>1</v>
      </c>
      <c r="G70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03" s="1" t="s">
        <v>36</v>
      </c>
      <c r="I703" s="1" t="s">
        <v>11</v>
      </c>
      <c r="J703" s="1" t="s">
        <v>17</v>
      </c>
      <c r="K703">
        <v>1</v>
      </c>
    </row>
    <row r="704" spans="1:11" x14ac:dyDescent="0.3">
      <c r="A704" s="1" t="s">
        <v>9</v>
      </c>
      <c r="B704">
        <v>26</v>
      </c>
      <c r="C704" t="str" cm="1">
        <f t="array" ref="C704">_xlfn.IFS(
    Dataset[[#This Row],[Age]]&lt;=10, "0-10",
    AND(Dataset[[#This Row],[Age]]&gt;10, Dataset[[#This Row],[Age]]&lt;=18), "11-18",
    AND(Dataset[[#This Row],[Age]]&gt;18, Dataset[[#This Row],[Age]]&lt;=30), "19-30",
    AND(Dataset[[#This Row],[Age]]&gt;30, Dataset[[#This Row],[Age]]&lt;=60), "31-60",
    Dataset[[#This Row],[Age]]&gt;60, "above 60"
)</f>
        <v>19-30</v>
      </c>
      <c r="D704">
        <v>0</v>
      </c>
      <c r="E704">
        <v>0</v>
      </c>
      <c r="F704">
        <v>0</v>
      </c>
      <c r="G70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04" s="1" t="s">
        <v>23</v>
      </c>
      <c r="I704" s="1" t="s">
        <v>15</v>
      </c>
      <c r="J704" s="1" t="s">
        <v>17</v>
      </c>
      <c r="K704">
        <v>0</v>
      </c>
    </row>
    <row r="705" spans="1:11" x14ac:dyDescent="0.3">
      <c r="A705" s="1" t="s">
        <v>13</v>
      </c>
      <c r="B705">
        <v>24</v>
      </c>
      <c r="C705" t="str" cm="1">
        <f t="array" ref="C705">_xlfn.IFS(
    Dataset[[#This Row],[Age]]&lt;=10, "0-10",
    AND(Dataset[[#This Row],[Age]]&gt;10, Dataset[[#This Row],[Age]]&lt;=18), "11-18",
    AND(Dataset[[#This Row],[Age]]&gt;18, Dataset[[#This Row],[Age]]&lt;=30), "19-30",
    AND(Dataset[[#This Row],[Age]]&gt;30, Dataset[[#This Row],[Age]]&lt;=60), "31-60",
    Dataset[[#This Row],[Age]]&gt;60, "above 60"
)</f>
        <v>19-30</v>
      </c>
      <c r="D705">
        <v>0</v>
      </c>
      <c r="E705">
        <v>0</v>
      </c>
      <c r="F705">
        <v>0</v>
      </c>
      <c r="G70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05" s="1" t="s">
        <v>38</v>
      </c>
      <c r="I705" s="1" t="s">
        <v>11</v>
      </c>
      <c r="J705" s="1" t="s">
        <v>22</v>
      </c>
      <c r="K705">
        <v>0</v>
      </c>
    </row>
    <row r="706" spans="1:11" x14ac:dyDescent="0.3">
      <c r="A706" s="1" t="s">
        <v>13</v>
      </c>
      <c r="B706">
        <v>30</v>
      </c>
      <c r="C706" t="str" cm="1">
        <f t="array" ref="C706">_xlfn.IFS(
    Dataset[[#This Row],[Age]]&lt;=10, "0-10",
    AND(Dataset[[#This Row],[Age]]&gt;10, Dataset[[#This Row],[Age]]&lt;=18), "11-18",
    AND(Dataset[[#This Row],[Age]]&gt;18, Dataset[[#This Row],[Age]]&lt;=30), "19-30",
    AND(Dataset[[#This Row],[Age]]&gt;30, Dataset[[#This Row],[Age]]&lt;=60), "31-60",
    Dataset[[#This Row],[Age]]&gt;60, "above 60"
)</f>
        <v>19-30</v>
      </c>
      <c r="D706">
        <v>0</v>
      </c>
      <c r="E706">
        <v>0</v>
      </c>
      <c r="F706">
        <v>0</v>
      </c>
      <c r="G70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06" s="1" t="s">
        <v>30</v>
      </c>
      <c r="I706" s="1" t="s">
        <v>15</v>
      </c>
      <c r="J706" s="1" t="s">
        <v>22</v>
      </c>
      <c r="K706">
        <v>0</v>
      </c>
    </row>
    <row r="707" spans="1:11" x14ac:dyDescent="0.3">
      <c r="A707" s="1" t="s">
        <v>13</v>
      </c>
      <c r="B707">
        <v>20</v>
      </c>
      <c r="C707" t="str" cm="1">
        <f t="array" ref="C707">_xlfn.IFS(
    Dataset[[#This Row],[Age]]&lt;=10, "0-10",
    AND(Dataset[[#This Row],[Age]]&gt;10, Dataset[[#This Row],[Age]]&lt;=18), "11-18",
    AND(Dataset[[#This Row],[Age]]&gt;18, Dataset[[#This Row],[Age]]&lt;=30), "19-30",
    AND(Dataset[[#This Row],[Age]]&gt;30, Dataset[[#This Row],[Age]]&lt;=60), "31-60",
    Dataset[[#This Row],[Age]]&gt;60, "above 60"
)</f>
        <v>19-30</v>
      </c>
      <c r="D707">
        <v>1</v>
      </c>
      <c r="E707">
        <v>1</v>
      </c>
      <c r="F707">
        <v>1</v>
      </c>
      <c r="G70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07" s="1" t="s">
        <v>25</v>
      </c>
      <c r="I707" s="1" t="s">
        <v>11</v>
      </c>
      <c r="J707" s="1" t="s">
        <v>12</v>
      </c>
      <c r="K707">
        <v>1</v>
      </c>
    </row>
    <row r="708" spans="1:11" x14ac:dyDescent="0.3">
      <c r="A708" s="1" t="s">
        <v>9</v>
      </c>
      <c r="B708">
        <v>50</v>
      </c>
      <c r="C708" t="str" cm="1">
        <f t="array" ref="C708">_xlfn.IFS(
    Dataset[[#This Row],[Age]]&lt;=10, "0-10",
    AND(Dataset[[#This Row],[Age]]&gt;10, Dataset[[#This Row],[Age]]&lt;=18), "11-18",
    AND(Dataset[[#This Row],[Age]]&gt;18, Dataset[[#This Row],[Age]]&lt;=30), "19-30",
    AND(Dataset[[#This Row],[Age]]&gt;30, Dataset[[#This Row],[Age]]&lt;=60), "31-60",
    Dataset[[#This Row],[Age]]&gt;60, "above 60"
)</f>
        <v>31-60</v>
      </c>
      <c r="D708">
        <v>1</v>
      </c>
      <c r="E708">
        <v>1</v>
      </c>
      <c r="F708">
        <v>1</v>
      </c>
      <c r="G70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08" s="1" t="s">
        <v>40</v>
      </c>
      <c r="I708" s="1" t="s">
        <v>15</v>
      </c>
      <c r="J708" s="1" t="s">
        <v>22</v>
      </c>
      <c r="K708">
        <v>1</v>
      </c>
    </row>
    <row r="709" spans="1:11" x14ac:dyDescent="0.3">
      <c r="A709" s="1" t="s">
        <v>9</v>
      </c>
      <c r="B709">
        <v>13</v>
      </c>
      <c r="C709" t="str" cm="1">
        <f t="array" ref="C709">_xlfn.IFS(
    Dataset[[#This Row],[Age]]&lt;=10, "0-10",
    AND(Dataset[[#This Row],[Age]]&gt;10, Dataset[[#This Row],[Age]]&lt;=18), "11-18",
    AND(Dataset[[#This Row],[Age]]&gt;18, Dataset[[#This Row],[Age]]&lt;=30), "19-30",
    AND(Dataset[[#This Row],[Age]]&gt;30, Dataset[[#This Row],[Age]]&lt;=60), "31-60",
    Dataset[[#This Row],[Age]]&gt;60, "above 60"
)</f>
        <v>11-18</v>
      </c>
      <c r="D709">
        <v>1</v>
      </c>
      <c r="E709">
        <v>1</v>
      </c>
      <c r="F709">
        <v>0</v>
      </c>
      <c r="G70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09" s="1" t="s">
        <v>29</v>
      </c>
      <c r="I709" s="1" t="s">
        <v>11</v>
      </c>
      <c r="J709" s="1" t="s">
        <v>17</v>
      </c>
      <c r="K709">
        <v>1</v>
      </c>
    </row>
    <row r="710" spans="1:11" x14ac:dyDescent="0.3">
      <c r="A710" s="1" t="s">
        <v>13</v>
      </c>
      <c r="B710">
        <v>44</v>
      </c>
      <c r="C710" t="str" cm="1">
        <f t="array" ref="C710">_xlfn.IFS(
    Dataset[[#This Row],[Age]]&lt;=10, "0-10",
    AND(Dataset[[#This Row],[Age]]&gt;10, Dataset[[#This Row],[Age]]&lt;=18), "11-18",
    AND(Dataset[[#This Row],[Age]]&gt;18, Dataset[[#This Row],[Age]]&lt;=30), "19-30",
    AND(Dataset[[#This Row],[Age]]&gt;30, Dataset[[#This Row],[Age]]&lt;=60), "31-60",
    Dataset[[#This Row],[Age]]&gt;60, "above 60"
)</f>
        <v>31-60</v>
      </c>
      <c r="D710">
        <v>1</v>
      </c>
      <c r="E710">
        <v>1</v>
      </c>
      <c r="F710">
        <v>0</v>
      </c>
      <c r="G71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10" s="1" t="s">
        <v>30</v>
      </c>
      <c r="I710" s="1" t="s">
        <v>15</v>
      </c>
      <c r="J710" s="1" t="s">
        <v>12</v>
      </c>
      <c r="K710">
        <v>1</v>
      </c>
    </row>
    <row r="711" spans="1:11" x14ac:dyDescent="0.3">
      <c r="A711" s="1" t="s">
        <v>13</v>
      </c>
      <c r="B711">
        <v>19</v>
      </c>
      <c r="C711" t="str" cm="1">
        <f t="array" ref="C711">_xlfn.IFS(
    Dataset[[#This Row],[Age]]&lt;=10, "0-10",
    AND(Dataset[[#This Row],[Age]]&gt;10, Dataset[[#This Row],[Age]]&lt;=18), "11-18",
    AND(Dataset[[#This Row],[Age]]&gt;18, Dataset[[#This Row],[Age]]&lt;=30), "19-30",
    AND(Dataset[[#This Row],[Age]]&gt;30, Dataset[[#This Row],[Age]]&lt;=60), "31-60",
    Dataset[[#This Row],[Age]]&gt;60, "above 60"
)</f>
        <v>19-30</v>
      </c>
      <c r="D711">
        <v>1</v>
      </c>
      <c r="E711">
        <v>1</v>
      </c>
      <c r="F711">
        <v>1</v>
      </c>
      <c r="G71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11" s="1" t="s">
        <v>25</v>
      </c>
      <c r="I711" s="1" t="s">
        <v>11</v>
      </c>
      <c r="J711" s="1" t="s">
        <v>17</v>
      </c>
      <c r="K711">
        <v>1</v>
      </c>
    </row>
    <row r="712" spans="1:11" x14ac:dyDescent="0.3">
      <c r="A712" s="1" t="s">
        <v>9</v>
      </c>
      <c r="B712">
        <v>53</v>
      </c>
      <c r="C712" t="str" cm="1">
        <f t="array" ref="C712">_xlfn.IFS(
    Dataset[[#This Row],[Age]]&lt;=10, "0-10",
    AND(Dataset[[#This Row],[Age]]&gt;10, Dataset[[#This Row],[Age]]&lt;=18), "11-18",
    AND(Dataset[[#This Row],[Age]]&gt;18, Dataset[[#This Row],[Age]]&lt;=30), "19-30",
    AND(Dataset[[#This Row],[Age]]&gt;30, Dataset[[#This Row],[Age]]&lt;=60), "31-60",
    Dataset[[#This Row],[Age]]&gt;60, "above 60"
)</f>
        <v>31-60</v>
      </c>
      <c r="D712">
        <v>1</v>
      </c>
      <c r="E712">
        <v>1</v>
      </c>
      <c r="F712">
        <v>1</v>
      </c>
      <c r="G71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12" s="1" t="s">
        <v>34</v>
      </c>
      <c r="I712" s="1" t="s">
        <v>15</v>
      </c>
      <c r="J712" s="1" t="s">
        <v>22</v>
      </c>
      <c r="K712">
        <v>1</v>
      </c>
    </row>
    <row r="713" spans="1:11" x14ac:dyDescent="0.3">
      <c r="A713" s="1" t="s">
        <v>9</v>
      </c>
      <c r="B713">
        <v>12</v>
      </c>
      <c r="C713" t="str" cm="1">
        <f t="array" ref="C713">_xlfn.IFS(
    Dataset[[#This Row],[Age]]&lt;=10, "0-10",
    AND(Dataset[[#This Row],[Age]]&gt;10, Dataset[[#This Row],[Age]]&lt;=18), "11-18",
    AND(Dataset[[#This Row],[Age]]&gt;18, Dataset[[#This Row],[Age]]&lt;=30), "19-30",
    AND(Dataset[[#This Row],[Age]]&gt;30, Dataset[[#This Row],[Age]]&lt;=60), "31-60",
    Dataset[[#This Row],[Age]]&gt;60, "above 60"
)</f>
        <v>11-18</v>
      </c>
      <c r="D713">
        <v>0</v>
      </c>
      <c r="E713">
        <v>0</v>
      </c>
      <c r="F713">
        <v>0</v>
      </c>
      <c r="G71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13" s="1" t="s">
        <v>47</v>
      </c>
      <c r="I713" s="1" t="s">
        <v>11</v>
      </c>
      <c r="J713" s="1" t="s">
        <v>12</v>
      </c>
      <c r="K713">
        <v>0</v>
      </c>
    </row>
    <row r="714" spans="1:11" x14ac:dyDescent="0.3">
      <c r="A714" s="1" t="s">
        <v>9</v>
      </c>
      <c r="B714">
        <v>14</v>
      </c>
      <c r="C714" t="str" cm="1">
        <f t="array" ref="C714">_xlfn.IFS(
    Dataset[[#This Row],[Age]]&lt;=10, "0-10",
    AND(Dataset[[#This Row],[Age]]&gt;10, Dataset[[#This Row],[Age]]&lt;=18), "11-18",
    AND(Dataset[[#This Row],[Age]]&gt;18, Dataset[[#This Row],[Age]]&lt;=30), "19-30",
    AND(Dataset[[#This Row],[Age]]&gt;30, Dataset[[#This Row],[Age]]&lt;=60), "31-60",
    Dataset[[#This Row],[Age]]&gt;60, "above 60"
)</f>
        <v>11-18</v>
      </c>
      <c r="D714">
        <v>0</v>
      </c>
      <c r="E714">
        <v>0</v>
      </c>
      <c r="F714">
        <v>0</v>
      </c>
      <c r="G71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14" s="1" t="s">
        <v>44</v>
      </c>
      <c r="I714" s="1" t="s">
        <v>15</v>
      </c>
      <c r="J714" s="1" t="s">
        <v>22</v>
      </c>
      <c r="K714">
        <v>0</v>
      </c>
    </row>
    <row r="715" spans="1:11" x14ac:dyDescent="0.3">
      <c r="A715" s="1" t="s">
        <v>13</v>
      </c>
      <c r="B715">
        <v>30</v>
      </c>
      <c r="C715" t="str" cm="1">
        <f t="array" ref="C715">_xlfn.IFS(
    Dataset[[#This Row],[Age]]&lt;=10, "0-10",
    AND(Dataset[[#This Row],[Age]]&gt;10, Dataset[[#This Row],[Age]]&lt;=18), "11-18",
    AND(Dataset[[#This Row],[Age]]&gt;18, Dataset[[#This Row],[Age]]&lt;=30), "19-30",
    AND(Dataset[[#This Row],[Age]]&gt;30, Dataset[[#This Row],[Age]]&lt;=60), "31-60",
    Dataset[[#This Row],[Age]]&gt;60, "above 60"
)</f>
        <v>19-30</v>
      </c>
      <c r="D715">
        <v>1</v>
      </c>
      <c r="E715">
        <v>1</v>
      </c>
      <c r="F715">
        <v>1</v>
      </c>
      <c r="G71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15" s="1" t="s">
        <v>27</v>
      </c>
      <c r="I715" s="1" t="s">
        <v>11</v>
      </c>
      <c r="J715" s="1" t="s">
        <v>12</v>
      </c>
      <c r="K715">
        <v>1</v>
      </c>
    </row>
    <row r="716" spans="1:11" x14ac:dyDescent="0.3">
      <c r="A716" s="1" t="s">
        <v>9</v>
      </c>
      <c r="B716">
        <v>48</v>
      </c>
      <c r="C716" t="str" cm="1">
        <f t="array" ref="C716">_xlfn.IFS(
    Dataset[[#This Row],[Age]]&lt;=10, "0-10",
    AND(Dataset[[#This Row],[Age]]&gt;10, Dataset[[#This Row],[Age]]&lt;=18), "11-18",
    AND(Dataset[[#This Row],[Age]]&gt;18, Dataset[[#This Row],[Age]]&lt;=30), "19-30",
    AND(Dataset[[#This Row],[Age]]&gt;30, Dataset[[#This Row],[Age]]&lt;=60), "31-60",
    Dataset[[#This Row],[Age]]&gt;60, "above 60"
)</f>
        <v>31-60</v>
      </c>
      <c r="D716">
        <v>0</v>
      </c>
      <c r="E716">
        <v>0</v>
      </c>
      <c r="F716">
        <v>1</v>
      </c>
      <c r="G71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16" s="1" t="s">
        <v>40</v>
      </c>
      <c r="I716" s="1" t="s">
        <v>15</v>
      </c>
      <c r="J716" s="1" t="s">
        <v>22</v>
      </c>
      <c r="K716">
        <v>0</v>
      </c>
    </row>
    <row r="717" spans="1:11" x14ac:dyDescent="0.3">
      <c r="A717" s="1" t="s">
        <v>13</v>
      </c>
      <c r="B717">
        <v>31</v>
      </c>
      <c r="C717" t="str" cm="1">
        <f t="array" ref="C717">_xlfn.IFS(
    Dataset[[#This Row],[Age]]&lt;=10, "0-10",
    AND(Dataset[[#This Row],[Age]]&gt;10, Dataset[[#This Row],[Age]]&lt;=18), "11-18",
    AND(Dataset[[#This Row],[Age]]&gt;18, Dataset[[#This Row],[Age]]&lt;=30), "19-30",
    AND(Dataset[[#This Row],[Age]]&gt;30, Dataset[[#This Row],[Age]]&lt;=60), "31-60",
    Dataset[[#This Row],[Age]]&gt;60, "above 60"
)</f>
        <v>31-60</v>
      </c>
      <c r="D717">
        <v>0</v>
      </c>
      <c r="E717">
        <v>0</v>
      </c>
      <c r="F717">
        <v>0</v>
      </c>
      <c r="G71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17" s="1" t="s">
        <v>40</v>
      </c>
      <c r="I717" s="1" t="s">
        <v>11</v>
      </c>
      <c r="J717" s="1" t="s">
        <v>12</v>
      </c>
      <c r="K717">
        <v>0</v>
      </c>
    </row>
    <row r="718" spans="1:11" x14ac:dyDescent="0.3">
      <c r="A718" s="1" t="s">
        <v>13</v>
      </c>
      <c r="B718">
        <v>16</v>
      </c>
      <c r="C718" t="str" cm="1">
        <f t="array" ref="C718">_xlfn.IFS(
    Dataset[[#This Row],[Age]]&lt;=10, "0-10",
    AND(Dataset[[#This Row],[Age]]&gt;10, Dataset[[#This Row],[Age]]&lt;=18), "11-18",
    AND(Dataset[[#This Row],[Age]]&gt;18, Dataset[[#This Row],[Age]]&lt;=30), "19-30",
    AND(Dataset[[#This Row],[Age]]&gt;30, Dataset[[#This Row],[Age]]&lt;=60), "31-60",
    Dataset[[#This Row],[Age]]&gt;60, "above 60"
)</f>
        <v>11-18</v>
      </c>
      <c r="D718">
        <v>1</v>
      </c>
      <c r="E718">
        <v>1</v>
      </c>
      <c r="F718">
        <v>0</v>
      </c>
      <c r="G71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18" s="1" t="s">
        <v>42</v>
      </c>
      <c r="I718" s="1" t="s">
        <v>15</v>
      </c>
      <c r="J718" s="1" t="s">
        <v>12</v>
      </c>
      <c r="K718">
        <v>1</v>
      </c>
    </row>
    <row r="719" spans="1:11" x14ac:dyDescent="0.3">
      <c r="A719" s="1" t="s">
        <v>13</v>
      </c>
      <c r="B719">
        <v>38</v>
      </c>
      <c r="C719" t="str" cm="1">
        <f t="array" ref="C719">_xlfn.IFS(
    Dataset[[#This Row],[Age]]&lt;=10, "0-10",
    AND(Dataset[[#This Row],[Age]]&gt;10, Dataset[[#This Row],[Age]]&lt;=18), "11-18",
    AND(Dataset[[#This Row],[Age]]&gt;18, Dataset[[#This Row],[Age]]&lt;=30), "19-30",
    AND(Dataset[[#This Row],[Age]]&gt;30, Dataset[[#This Row],[Age]]&lt;=60), "31-60",
    Dataset[[#This Row],[Age]]&gt;60, "above 60"
)</f>
        <v>31-60</v>
      </c>
      <c r="D719">
        <v>1</v>
      </c>
      <c r="E719">
        <v>1</v>
      </c>
      <c r="F719">
        <v>1</v>
      </c>
      <c r="G71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19" s="1" t="s">
        <v>20</v>
      </c>
      <c r="I719" s="1" t="s">
        <v>11</v>
      </c>
      <c r="J719" s="1" t="s">
        <v>22</v>
      </c>
      <c r="K719">
        <v>1</v>
      </c>
    </row>
    <row r="720" spans="1:11" x14ac:dyDescent="0.3">
      <c r="A720" s="1" t="s">
        <v>9</v>
      </c>
      <c r="B720">
        <v>24</v>
      </c>
      <c r="C720" t="str" cm="1">
        <f t="array" ref="C720">_xlfn.IFS(
    Dataset[[#This Row],[Age]]&lt;=10, "0-10",
    AND(Dataset[[#This Row],[Age]]&gt;10, Dataset[[#This Row],[Age]]&lt;=18), "11-18",
    AND(Dataset[[#This Row],[Age]]&gt;18, Dataset[[#This Row],[Age]]&lt;=30), "19-30",
    AND(Dataset[[#This Row],[Age]]&gt;30, Dataset[[#This Row],[Age]]&lt;=60), "31-60",
    Dataset[[#This Row],[Age]]&gt;60, "above 60"
)</f>
        <v>19-30</v>
      </c>
      <c r="D720">
        <v>1</v>
      </c>
      <c r="E720">
        <v>1</v>
      </c>
      <c r="F720">
        <v>1</v>
      </c>
      <c r="G72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20" s="1" t="s">
        <v>39</v>
      </c>
      <c r="I720" s="1" t="s">
        <v>15</v>
      </c>
      <c r="J720" s="1" t="s">
        <v>17</v>
      </c>
      <c r="K720">
        <v>1</v>
      </c>
    </row>
    <row r="721" spans="1:11" x14ac:dyDescent="0.3">
      <c r="A721" s="1" t="s">
        <v>9</v>
      </c>
      <c r="B721">
        <v>28</v>
      </c>
      <c r="C721" t="str" cm="1">
        <f t="array" ref="C721">_xlfn.IFS(
    Dataset[[#This Row],[Age]]&lt;=10, "0-10",
    AND(Dataset[[#This Row],[Age]]&gt;10, Dataset[[#This Row],[Age]]&lt;=18), "11-18",
    AND(Dataset[[#This Row],[Age]]&gt;18, Dataset[[#This Row],[Age]]&lt;=30), "19-30",
    AND(Dataset[[#This Row],[Age]]&gt;30, Dataset[[#This Row],[Age]]&lt;=60), "31-60",
    Dataset[[#This Row],[Age]]&gt;60, "above 60"
)</f>
        <v>19-30</v>
      </c>
      <c r="D721">
        <v>0</v>
      </c>
      <c r="E721">
        <v>0</v>
      </c>
      <c r="F721">
        <v>1</v>
      </c>
      <c r="G72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21" s="1" t="s">
        <v>24</v>
      </c>
      <c r="I721" s="1" t="s">
        <v>11</v>
      </c>
      <c r="J721" s="1" t="s">
        <v>22</v>
      </c>
      <c r="K721">
        <v>0</v>
      </c>
    </row>
    <row r="722" spans="1:11" x14ac:dyDescent="0.3">
      <c r="A722" s="1" t="s">
        <v>9</v>
      </c>
      <c r="B722">
        <v>52</v>
      </c>
      <c r="C722" t="str" cm="1">
        <f t="array" ref="C722">_xlfn.IFS(
    Dataset[[#This Row],[Age]]&lt;=10, "0-10",
    AND(Dataset[[#This Row],[Age]]&gt;10, Dataset[[#This Row],[Age]]&lt;=18), "11-18",
    AND(Dataset[[#This Row],[Age]]&gt;18, Dataset[[#This Row],[Age]]&lt;=30), "19-30",
    AND(Dataset[[#This Row],[Age]]&gt;30, Dataset[[#This Row],[Age]]&lt;=60), "31-60",
    Dataset[[#This Row],[Age]]&gt;60, "above 60"
)</f>
        <v>31-60</v>
      </c>
      <c r="D722">
        <v>1</v>
      </c>
      <c r="E722">
        <v>1</v>
      </c>
      <c r="F722">
        <v>0</v>
      </c>
      <c r="G72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22" s="1" t="s">
        <v>48</v>
      </c>
      <c r="I722" s="1" t="s">
        <v>15</v>
      </c>
      <c r="J722" s="1" t="s">
        <v>22</v>
      </c>
      <c r="K722">
        <v>1</v>
      </c>
    </row>
    <row r="723" spans="1:11" x14ac:dyDescent="0.3">
      <c r="A723" s="1" t="s">
        <v>13</v>
      </c>
      <c r="B723">
        <v>8</v>
      </c>
      <c r="C723" t="str" cm="1">
        <f t="array" ref="C723">_xlfn.IFS(
    Dataset[[#This Row],[Age]]&lt;=10, "0-10",
    AND(Dataset[[#This Row],[Age]]&gt;10, Dataset[[#This Row],[Age]]&lt;=18), "11-18",
    AND(Dataset[[#This Row],[Age]]&gt;18, Dataset[[#This Row],[Age]]&lt;=30), "19-30",
    AND(Dataset[[#This Row],[Age]]&gt;30, Dataset[[#This Row],[Age]]&lt;=60), "31-60",
    Dataset[[#This Row],[Age]]&gt;60, "above 60"
)</f>
        <v>0-10</v>
      </c>
      <c r="D723">
        <v>1</v>
      </c>
      <c r="E723">
        <v>1</v>
      </c>
      <c r="F723">
        <v>0</v>
      </c>
      <c r="G72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23" s="1" t="s">
        <v>30</v>
      </c>
      <c r="I723" s="1" t="s">
        <v>11</v>
      </c>
      <c r="J723" s="1" t="s">
        <v>12</v>
      </c>
      <c r="K723">
        <v>1</v>
      </c>
    </row>
    <row r="724" spans="1:11" x14ac:dyDescent="0.3">
      <c r="A724" s="1" t="s">
        <v>9</v>
      </c>
      <c r="B724">
        <v>54</v>
      </c>
      <c r="C724" t="str" cm="1">
        <f t="array" ref="C724">_xlfn.IFS(
    Dataset[[#This Row],[Age]]&lt;=10, "0-10",
    AND(Dataset[[#This Row],[Age]]&gt;10, Dataset[[#This Row],[Age]]&lt;=18), "11-18",
    AND(Dataset[[#This Row],[Age]]&gt;18, Dataset[[#This Row],[Age]]&lt;=30), "19-30",
    AND(Dataset[[#This Row],[Age]]&gt;30, Dataset[[#This Row],[Age]]&lt;=60), "31-60",
    Dataset[[#This Row],[Age]]&gt;60, "above 60"
)</f>
        <v>31-60</v>
      </c>
      <c r="D724">
        <v>0</v>
      </c>
      <c r="E724">
        <v>0</v>
      </c>
      <c r="F724">
        <v>0</v>
      </c>
      <c r="G72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24" s="1" t="s">
        <v>10</v>
      </c>
      <c r="I724" s="1" t="s">
        <v>15</v>
      </c>
      <c r="J724" s="1" t="s">
        <v>12</v>
      </c>
      <c r="K724">
        <v>0</v>
      </c>
    </row>
    <row r="725" spans="1:11" x14ac:dyDescent="0.3">
      <c r="A725" s="1" t="s">
        <v>9</v>
      </c>
      <c r="B725">
        <v>9</v>
      </c>
      <c r="C725" t="str" cm="1">
        <f t="array" ref="C725">_xlfn.IFS(
    Dataset[[#This Row],[Age]]&lt;=10, "0-10",
    AND(Dataset[[#This Row],[Age]]&gt;10, Dataset[[#This Row],[Age]]&lt;=18), "11-18",
    AND(Dataset[[#This Row],[Age]]&gt;18, Dataset[[#This Row],[Age]]&lt;=30), "19-30",
    AND(Dataset[[#This Row],[Age]]&gt;30, Dataset[[#This Row],[Age]]&lt;=60), "31-60",
    Dataset[[#This Row],[Age]]&gt;60, "above 60"
)</f>
        <v>0-10</v>
      </c>
      <c r="D725">
        <v>1</v>
      </c>
      <c r="E725">
        <v>1</v>
      </c>
      <c r="F725">
        <v>1</v>
      </c>
      <c r="G72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25" s="1" t="s">
        <v>29</v>
      </c>
      <c r="I725" s="1" t="s">
        <v>11</v>
      </c>
      <c r="J725" s="1" t="s">
        <v>12</v>
      </c>
      <c r="K725">
        <v>1</v>
      </c>
    </row>
    <row r="726" spans="1:11" x14ac:dyDescent="0.3">
      <c r="A726" s="1" t="s">
        <v>9</v>
      </c>
      <c r="B726">
        <v>14</v>
      </c>
      <c r="C726" t="str" cm="1">
        <f t="array" ref="C726">_xlfn.IFS(
    Dataset[[#This Row],[Age]]&lt;=10, "0-10",
    AND(Dataset[[#This Row],[Age]]&gt;10, Dataset[[#This Row],[Age]]&lt;=18), "11-18",
    AND(Dataset[[#This Row],[Age]]&gt;18, Dataset[[#This Row],[Age]]&lt;=30), "19-30",
    AND(Dataset[[#This Row],[Age]]&gt;30, Dataset[[#This Row],[Age]]&lt;=60), "31-60",
    Dataset[[#This Row],[Age]]&gt;60, "above 60"
)</f>
        <v>11-18</v>
      </c>
      <c r="D726">
        <v>1</v>
      </c>
      <c r="E726">
        <v>1</v>
      </c>
      <c r="F726">
        <v>0</v>
      </c>
      <c r="G72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26" s="1" t="s">
        <v>31</v>
      </c>
      <c r="I726" s="1" t="s">
        <v>15</v>
      </c>
      <c r="J726" s="1" t="s">
        <v>17</v>
      </c>
      <c r="K726">
        <v>1</v>
      </c>
    </row>
    <row r="727" spans="1:11" x14ac:dyDescent="0.3">
      <c r="A727" s="1" t="s">
        <v>9</v>
      </c>
      <c r="B727">
        <v>12</v>
      </c>
      <c r="C727" t="str" cm="1">
        <f t="array" ref="C727">_xlfn.IFS(
    Dataset[[#This Row],[Age]]&lt;=10, "0-10",
    AND(Dataset[[#This Row],[Age]]&gt;10, Dataset[[#This Row],[Age]]&lt;=18), "11-18",
    AND(Dataset[[#This Row],[Age]]&gt;18, Dataset[[#This Row],[Age]]&lt;=30), "19-30",
    AND(Dataset[[#This Row],[Age]]&gt;30, Dataset[[#This Row],[Age]]&lt;=60), "31-60",
    Dataset[[#This Row],[Age]]&gt;60, "above 60"
)</f>
        <v>11-18</v>
      </c>
      <c r="D727">
        <v>1</v>
      </c>
      <c r="E727">
        <v>1</v>
      </c>
      <c r="F727">
        <v>0</v>
      </c>
      <c r="G72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27" s="1" t="s">
        <v>14</v>
      </c>
      <c r="I727" s="1" t="s">
        <v>11</v>
      </c>
      <c r="J727" s="1" t="s">
        <v>17</v>
      </c>
      <c r="K727">
        <v>1</v>
      </c>
    </row>
    <row r="728" spans="1:11" x14ac:dyDescent="0.3">
      <c r="A728" s="1" t="s">
        <v>9</v>
      </c>
      <c r="B728">
        <v>49</v>
      </c>
      <c r="C728" t="str" cm="1">
        <f t="array" ref="C728">_xlfn.IFS(
    Dataset[[#This Row],[Age]]&lt;=10, "0-10",
    AND(Dataset[[#This Row],[Age]]&gt;10, Dataset[[#This Row],[Age]]&lt;=18), "11-18",
    AND(Dataset[[#This Row],[Age]]&gt;18, Dataset[[#This Row],[Age]]&lt;=30), "19-30",
    AND(Dataset[[#This Row],[Age]]&gt;30, Dataset[[#This Row],[Age]]&lt;=60), "31-60",
    Dataset[[#This Row],[Age]]&gt;60, "above 60"
)</f>
        <v>31-60</v>
      </c>
      <c r="D728">
        <v>0</v>
      </c>
      <c r="E728">
        <v>0</v>
      </c>
      <c r="F728">
        <v>1</v>
      </c>
      <c r="G72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28" s="1" t="s">
        <v>46</v>
      </c>
      <c r="I728" s="1" t="s">
        <v>15</v>
      </c>
      <c r="J728" s="1" t="s">
        <v>17</v>
      </c>
      <c r="K728">
        <v>0</v>
      </c>
    </row>
    <row r="729" spans="1:11" x14ac:dyDescent="0.3">
      <c r="A729" s="1" t="s">
        <v>13</v>
      </c>
      <c r="B729">
        <v>46</v>
      </c>
      <c r="C729" t="str" cm="1">
        <f t="array" ref="C729">_xlfn.IFS(
    Dataset[[#This Row],[Age]]&lt;=10, "0-10",
    AND(Dataset[[#This Row],[Age]]&gt;10, Dataset[[#This Row],[Age]]&lt;=18), "11-18",
    AND(Dataset[[#This Row],[Age]]&gt;18, Dataset[[#This Row],[Age]]&lt;=30), "19-30",
    AND(Dataset[[#This Row],[Age]]&gt;30, Dataset[[#This Row],[Age]]&lt;=60), "31-60",
    Dataset[[#This Row],[Age]]&gt;60, "above 60"
)</f>
        <v>31-60</v>
      </c>
      <c r="D729">
        <v>0</v>
      </c>
      <c r="E729">
        <v>0</v>
      </c>
      <c r="F729">
        <v>0</v>
      </c>
      <c r="G72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29" s="1" t="s">
        <v>31</v>
      </c>
      <c r="I729" s="1" t="s">
        <v>11</v>
      </c>
      <c r="J729" s="1" t="s">
        <v>17</v>
      </c>
      <c r="K729">
        <v>0</v>
      </c>
    </row>
    <row r="730" spans="1:11" x14ac:dyDescent="0.3">
      <c r="A730" s="1" t="s">
        <v>13</v>
      </c>
      <c r="B730">
        <v>35</v>
      </c>
      <c r="C730" t="str" cm="1">
        <f t="array" ref="C730">_xlfn.IFS(
    Dataset[[#This Row],[Age]]&lt;=10, "0-10",
    AND(Dataset[[#This Row],[Age]]&gt;10, Dataset[[#This Row],[Age]]&lt;=18), "11-18",
    AND(Dataset[[#This Row],[Age]]&gt;18, Dataset[[#This Row],[Age]]&lt;=30), "19-30",
    AND(Dataset[[#This Row],[Age]]&gt;30, Dataset[[#This Row],[Age]]&lt;=60), "31-60",
    Dataset[[#This Row],[Age]]&gt;60, "above 60"
)</f>
        <v>31-60</v>
      </c>
      <c r="D730">
        <v>0</v>
      </c>
      <c r="E730">
        <v>0</v>
      </c>
      <c r="F730">
        <v>1</v>
      </c>
      <c r="G73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30" s="1" t="s">
        <v>42</v>
      </c>
      <c r="I730" s="1" t="s">
        <v>15</v>
      </c>
      <c r="J730" s="1" t="s">
        <v>12</v>
      </c>
      <c r="K730">
        <v>0</v>
      </c>
    </row>
    <row r="731" spans="1:11" x14ac:dyDescent="0.3">
      <c r="A731" s="1" t="s">
        <v>9</v>
      </c>
      <c r="B731">
        <v>45</v>
      </c>
      <c r="C731" t="str" cm="1">
        <f t="array" ref="C731">_xlfn.IFS(
    Dataset[[#This Row],[Age]]&lt;=10, "0-10",
    AND(Dataset[[#This Row],[Age]]&gt;10, Dataset[[#This Row],[Age]]&lt;=18), "11-18",
    AND(Dataset[[#This Row],[Age]]&gt;18, Dataset[[#This Row],[Age]]&lt;=30), "19-30",
    AND(Dataset[[#This Row],[Age]]&gt;30, Dataset[[#This Row],[Age]]&lt;=60), "31-60",
    Dataset[[#This Row],[Age]]&gt;60, "above 60"
)</f>
        <v>31-60</v>
      </c>
      <c r="D731">
        <v>1</v>
      </c>
      <c r="E731">
        <v>1</v>
      </c>
      <c r="F731">
        <v>0</v>
      </c>
      <c r="G73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31" s="1" t="s">
        <v>21</v>
      </c>
      <c r="I731" s="1" t="s">
        <v>11</v>
      </c>
      <c r="J731" s="1" t="s">
        <v>12</v>
      </c>
      <c r="K731">
        <v>1</v>
      </c>
    </row>
    <row r="732" spans="1:11" x14ac:dyDescent="0.3">
      <c r="A732" s="1" t="s">
        <v>13</v>
      </c>
      <c r="B732">
        <v>48</v>
      </c>
      <c r="C732" t="str" cm="1">
        <f t="array" ref="C732">_xlfn.IFS(
    Dataset[[#This Row],[Age]]&lt;=10, "0-10",
    AND(Dataset[[#This Row],[Age]]&gt;10, Dataset[[#This Row],[Age]]&lt;=18), "11-18",
    AND(Dataset[[#This Row],[Age]]&gt;18, Dataset[[#This Row],[Age]]&lt;=30), "19-30",
    AND(Dataset[[#This Row],[Age]]&gt;30, Dataset[[#This Row],[Age]]&lt;=60), "31-60",
    Dataset[[#This Row],[Age]]&gt;60, "above 60"
)</f>
        <v>31-60</v>
      </c>
      <c r="D732">
        <v>0</v>
      </c>
      <c r="E732">
        <v>0</v>
      </c>
      <c r="F732">
        <v>0</v>
      </c>
      <c r="G73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32" s="1" t="s">
        <v>50</v>
      </c>
      <c r="I732" s="1" t="s">
        <v>15</v>
      </c>
      <c r="J732" s="1" t="s">
        <v>17</v>
      </c>
      <c r="K732">
        <v>0</v>
      </c>
    </row>
    <row r="733" spans="1:11" x14ac:dyDescent="0.3">
      <c r="A733" s="1" t="s">
        <v>13</v>
      </c>
      <c r="B733">
        <v>50</v>
      </c>
      <c r="C733" t="str" cm="1">
        <f t="array" ref="C733">_xlfn.IFS(
    Dataset[[#This Row],[Age]]&lt;=10, "0-10",
    AND(Dataset[[#This Row],[Age]]&gt;10, Dataset[[#This Row],[Age]]&lt;=18), "11-18",
    AND(Dataset[[#This Row],[Age]]&gt;18, Dataset[[#This Row],[Age]]&lt;=30), "19-30",
    AND(Dataset[[#This Row],[Age]]&gt;30, Dataset[[#This Row],[Age]]&lt;=60), "31-60",
    Dataset[[#This Row],[Age]]&gt;60, "above 60"
)</f>
        <v>31-60</v>
      </c>
      <c r="D733">
        <v>0</v>
      </c>
      <c r="E733">
        <v>0</v>
      </c>
      <c r="F733">
        <v>0</v>
      </c>
      <c r="G73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33" s="1" t="s">
        <v>36</v>
      </c>
      <c r="I733" s="1" t="s">
        <v>11</v>
      </c>
      <c r="J733" s="1" t="s">
        <v>17</v>
      </c>
      <c r="K733">
        <v>0</v>
      </c>
    </row>
    <row r="734" spans="1:11" x14ac:dyDescent="0.3">
      <c r="A734" s="1" t="s">
        <v>13</v>
      </c>
      <c r="B734">
        <v>37</v>
      </c>
      <c r="C734" t="str" cm="1">
        <f t="array" ref="C734">_xlfn.IFS(
    Dataset[[#This Row],[Age]]&lt;=10, "0-10",
    AND(Dataset[[#This Row],[Age]]&gt;10, Dataset[[#This Row],[Age]]&lt;=18), "11-18",
    AND(Dataset[[#This Row],[Age]]&gt;18, Dataset[[#This Row],[Age]]&lt;=30), "19-30",
    AND(Dataset[[#This Row],[Age]]&gt;30, Dataset[[#This Row],[Age]]&lt;=60), "31-60",
    Dataset[[#This Row],[Age]]&gt;60, "above 60"
)</f>
        <v>31-60</v>
      </c>
      <c r="D734">
        <v>0</v>
      </c>
      <c r="E734">
        <v>0</v>
      </c>
      <c r="F734">
        <v>0</v>
      </c>
      <c r="G73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34" s="1" t="s">
        <v>23</v>
      </c>
      <c r="I734" s="1" t="s">
        <v>15</v>
      </c>
      <c r="J734" s="1" t="s">
        <v>12</v>
      </c>
      <c r="K734">
        <v>0</v>
      </c>
    </row>
    <row r="735" spans="1:11" x14ac:dyDescent="0.3">
      <c r="A735" s="1" t="s">
        <v>9</v>
      </c>
      <c r="B735">
        <v>39</v>
      </c>
      <c r="C735" t="str" cm="1">
        <f t="array" ref="C735">_xlfn.IFS(
    Dataset[[#This Row],[Age]]&lt;=10, "0-10",
    AND(Dataset[[#This Row],[Age]]&gt;10, Dataset[[#This Row],[Age]]&lt;=18), "11-18",
    AND(Dataset[[#This Row],[Age]]&gt;18, Dataset[[#This Row],[Age]]&lt;=30), "19-30",
    AND(Dataset[[#This Row],[Age]]&gt;30, Dataset[[#This Row],[Age]]&lt;=60), "31-60",
    Dataset[[#This Row],[Age]]&gt;60, "above 60"
)</f>
        <v>31-60</v>
      </c>
      <c r="D735">
        <v>0</v>
      </c>
      <c r="E735">
        <v>0</v>
      </c>
      <c r="F735">
        <v>1</v>
      </c>
      <c r="G73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35" s="1" t="s">
        <v>38</v>
      </c>
      <c r="I735" s="1" t="s">
        <v>11</v>
      </c>
      <c r="J735" s="1" t="s">
        <v>12</v>
      </c>
      <c r="K735">
        <v>0</v>
      </c>
    </row>
    <row r="736" spans="1:11" x14ac:dyDescent="0.3">
      <c r="A736" s="1" t="s">
        <v>13</v>
      </c>
      <c r="B736">
        <v>56</v>
      </c>
      <c r="C736" t="str" cm="1">
        <f t="array" ref="C736">_xlfn.IFS(
    Dataset[[#This Row],[Age]]&lt;=10, "0-10",
    AND(Dataset[[#This Row],[Age]]&gt;10, Dataset[[#This Row],[Age]]&lt;=18), "11-18",
    AND(Dataset[[#This Row],[Age]]&gt;18, Dataset[[#This Row],[Age]]&lt;=30), "19-30",
    AND(Dataset[[#This Row],[Age]]&gt;30, Dataset[[#This Row],[Age]]&lt;=60), "31-60",
    Dataset[[#This Row],[Age]]&gt;60, "above 60"
)</f>
        <v>31-60</v>
      </c>
      <c r="D736">
        <v>1</v>
      </c>
      <c r="E736">
        <v>1</v>
      </c>
      <c r="F736">
        <v>0</v>
      </c>
      <c r="G73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36" s="1" t="s">
        <v>29</v>
      </c>
      <c r="I736" s="1" t="s">
        <v>15</v>
      </c>
      <c r="J736" s="1" t="s">
        <v>12</v>
      </c>
      <c r="K736">
        <v>1</v>
      </c>
    </row>
    <row r="737" spans="1:11" x14ac:dyDescent="0.3">
      <c r="A737" s="1" t="s">
        <v>9</v>
      </c>
      <c r="B737">
        <v>11</v>
      </c>
      <c r="C737" t="str" cm="1">
        <f t="array" ref="C737">_xlfn.IFS(
    Dataset[[#This Row],[Age]]&lt;=10, "0-10",
    AND(Dataset[[#This Row],[Age]]&gt;10, Dataset[[#This Row],[Age]]&lt;=18), "11-18",
    AND(Dataset[[#This Row],[Age]]&gt;18, Dataset[[#This Row],[Age]]&lt;=30), "19-30",
    AND(Dataset[[#This Row],[Age]]&gt;30, Dataset[[#This Row],[Age]]&lt;=60), "31-60",
    Dataset[[#This Row],[Age]]&gt;60, "above 60"
)</f>
        <v>11-18</v>
      </c>
      <c r="D737">
        <v>0</v>
      </c>
      <c r="E737">
        <v>0</v>
      </c>
      <c r="F737">
        <v>1</v>
      </c>
      <c r="G73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37" s="1" t="s">
        <v>14</v>
      </c>
      <c r="I737" s="1" t="s">
        <v>11</v>
      </c>
      <c r="J737" s="1" t="s">
        <v>22</v>
      </c>
      <c r="K737">
        <v>0</v>
      </c>
    </row>
    <row r="738" spans="1:11" x14ac:dyDescent="0.3">
      <c r="A738" s="1" t="s">
        <v>13</v>
      </c>
      <c r="B738">
        <v>46</v>
      </c>
      <c r="C738" t="str" cm="1">
        <f t="array" ref="C738">_xlfn.IFS(
    Dataset[[#This Row],[Age]]&lt;=10, "0-10",
    AND(Dataset[[#This Row],[Age]]&gt;10, Dataset[[#This Row],[Age]]&lt;=18), "11-18",
    AND(Dataset[[#This Row],[Age]]&gt;18, Dataset[[#This Row],[Age]]&lt;=30), "19-30",
    AND(Dataset[[#This Row],[Age]]&gt;30, Dataset[[#This Row],[Age]]&lt;=60), "31-60",
    Dataset[[#This Row],[Age]]&gt;60, "above 60"
)</f>
        <v>31-60</v>
      </c>
      <c r="D738">
        <v>1</v>
      </c>
      <c r="E738">
        <v>1</v>
      </c>
      <c r="F738">
        <v>0</v>
      </c>
      <c r="G73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38" s="1" t="s">
        <v>46</v>
      </c>
      <c r="I738" s="1" t="s">
        <v>15</v>
      </c>
      <c r="J738" s="1" t="s">
        <v>12</v>
      </c>
      <c r="K738">
        <v>1</v>
      </c>
    </row>
    <row r="739" spans="1:11" x14ac:dyDescent="0.3">
      <c r="A739" s="1" t="s">
        <v>9</v>
      </c>
      <c r="B739">
        <v>32</v>
      </c>
      <c r="C739" t="str" cm="1">
        <f t="array" ref="C739">_xlfn.IFS(
    Dataset[[#This Row],[Age]]&lt;=10, "0-10",
    AND(Dataset[[#This Row],[Age]]&gt;10, Dataset[[#This Row],[Age]]&lt;=18), "11-18",
    AND(Dataset[[#This Row],[Age]]&gt;18, Dataset[[#This Row],[Age]]&lt;=30), "19-30",
    AND(Dataset[[#This Row],[Age]]&gt;30, Dataset[[#This Row],[Age]]&lt;=60), "31-60",
    Dataset[[#This Row],[Age]]&gt;60, "above 60"
)</f>
        <v>31-60</v>
      </c>
      <c r="D739">
        <v>0</v>
      </c>
      <c r="E739">
        <v>0</v>
      </c>
      <c r="F739">
        <v>1</v>
      </c>
      <c r="G73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39" s="1" t="s">
        <v>27</v>
      </c>
      <c r="I739" s="1" t="s">
        <v>11</v>
      </c>
      <c r="J739" s="1" t="s">
        <v>22</v>
      </c>
      <c r="K739">
        <v>0</v>
      </c>
    </row>
    <row r="740" spans="1:11" x14ac:dyDescent="0.3">
      <c r="A740" s="1" t="s">
        <v>13</v>
      </c>
      <c r="B740">
        <v>65</v>
      </c>
      <c r="C740" t="str" cm="1">
        <f t="array" ref="C740">_xlfn.IFS(
    Dataset[[#This Row],[Age]]&lt;=10, "0-10",
    AND(Dataset[[#This Row],[Age]]&gt;10, Dataset[[#This Row],[Age]]&lt;=18), "11-18",
    AND(Dataset[[#This Row],[Age]]&gt;18, Dataset[[#This Row],[Age]]&lt;=30), "19-30",
    AND(Dataset[[#This Row],[Age]]&gt;30, Dataset[[#This Row],[Age]]&lt;=60), "31-60",
    Dataset[[#This Row],[Age]]&gt;60, "above 60"
)</f>
        <v>above 60</v>
      </c>
      <c r="D740">
        <v>0</v>
      </c>
      <c r="E740">
        <v>0</v>
      </c>
      <c r="F740">
        <v>0</v>
      </c>
      <c r="G74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40" s="1" t="s">
        <v>51</v>
      </c>
      <c r="I740" s="1" t="s">
        <v>15</v>
      </c>
      <c r="J740" s="1" t="s">
        <v>22</v>
      </c>
      <c r="K740">
        <v>0</v>
      </c>
    </row>
    <row r="741" spans="1:11" x14ac:dyDescent="0.3">
      <c r="A741" s="1" t="s">
        <v>13</v>
      </c>
      <c r="B741">
        <v>55</v>
      </c>
      <c r="C741" t="str" cm="1">
        <f t="array" ref="C741">_xlfn.IFS(
    Dataset[[#This Row],[Age]]&lt;=10, "0-10",
    AND(Dataset[[#This Row],[Age]]&gt;10, Dataset[[#This Row],[Age]]&lt;=18), "11-18",
    AND(Dataset[[#This Row],[Age]]&gt;18, Dataset[[#This Row],[Age]]&lt;=30), "19-30",
    AND(Dataset[[#This Row],[Age]]&gt;30, Dataset[[#This Row],[Age]]&lt;=60), "31-60",
    Dataset[[#This Row],[Age]]&gt;60, "above 60"
)</f>
        <v>31-60</v>
      </c>
      <c r="D741">
        <v>1</v>
      </c>
      <c r="E741">
        <v>1</v>
      </c>
      <c r="F741">
        <v>1</v>
      </c>
      <c r="G74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41" s="1" t="s">
        <v>37</v>
      </c>
      <c r="I741" s="1" t="s">
        <v>11</v>
      </c>
      <c r="J741" s="1" t="s">
        <v>17</v>
      </c>
      <c r="K741">
        <v>1</v>
      </c>
    </row>
    <row r="742" spans="1:11" x14ac:dyDescent="0.3">
      <c r="A742" s="1" t="s">
        <v>13</v>
      </c>
      <c r="B742">
        <v>34</v>
      </c>
      <c r="C742" t="str" cm="1">
        <f t="array" ref="C742">_xlfn.IFS(
    Dataset[[#This Row],[Age]]&lt;=10, "0-10",
    AND(Dataset[[#This Row],[Age]]&gt;10, Dataset[[#This Row],[Age]]&lt;=18), "11-18",
    AND(Dataset[[#This Row],[Age]]&gt;18, Dataset[[#This Row],[Age]]&lt;=30), "19-30",
    AND(Dataset[[#This Row],[Age]]&gt;30, Dataset[[#This Row],[Age]]&lt;=60), "31-60",
    Dataset[[#This Row],[Age]]&gt;60, "above 60"
)</f>
        <v>31-60</v>
      </c>
      <c r="D742">
        <v>0</v>
      </c>
      <c r="E742">
        <v>0</v>
      </c>
      <c r="F742">
        <v>1</v>
      </c>
      <c r="G74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42" s="1" t="s">
        <v>40</v>
      </c>
      <c r="I742" s="1" t="s">
        <v>15</v>
      </c>
      <c r="J742" s="1" t="s">
        <v>17</v>
      </c>
      <c r="K742">
        <v>0</v>
      </c>
    </row>
    <row r="743" spans="1:11" x14ac:dyDescent="0.3">
      <c r="A743" s="1" t="s">
        <v>13</v>
      </c>
      <c r="B743">
        <v>21</v>
      </c>
      <c r="C743" t="str" cm="1">
        <f t="array" ref="C743">_xlfn.IFS(
    Dataset[[#This Row],[Age]]&lt;=10, "0-10",
    AND(Dataset[[#This Row],[Age]]&gt;10, Dataset[[#This Row],[Age]]&lt;=18), "11-18",
    AND(Dataset[[#This Row],[Age]]&gt;18, Dataset[[#This Row],[Age]]&lt;=30), "19-30",
    AND(Dataset[[#This Row],[Age]]&gt;30, Dataset[[#This Row],[Age]]&lt;=60), "31-60",
    Dataset[[#This Row],[Age]]&gt;60, "above 60"
)</f>
        <v>19-30</v>
      </c>
      <c r="D743">
        <v>0</v>
      </c>
      <c r="E743">
        <v>0</v>
      </c>
      <c r="F743">
        <v>0</v>
      </c>
      <c r="G74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43" s="1" t="s">
        <v>39</v>
      </c>
      <c r="I743" s="1" t="s">
        <v>11</v>
      </c>
      <c r="J743" s="1" t="s">
        <v>22</v>
      </c>
      <c r="K743">
        <v>0</v>
      </c>
    </row>
    <row r="744" spans="1:11" x14ac:dyDescent="0.3">
      <c r="A744" s="1" t="s">
        <v>9</v>
      </c>
      <c r="B744">
        <v>11</v>
      </c>
      <c r="C744" t="str" cm="1">
        <f t="array" ref="C744">_xlfn.IFS(
    Dataset[[#This Row],[Age]]&lt;=10, "0-10",
    AND(Dataset[[#This Row],[Age]]&gt;10, Dataset[[#This Row],[Age]]&lt;=18), "11-18",
    AND(Dataset[[#This Row],[Age]]&gt;18, Dataset[[#This Row],[Age]]&lt;=30), "19-30",
    AND(Dataset[[#This Row],[Age]]&gt;30, Dataset[[#This Row],[Age]]&lt;=60), "31-60",
    Dataset[[#This Row],[Age]]&gt;60, "above 60"
)</f>
        <v>11-18</v>
      </c>
      <c r="D744">
        <v>0</v>
      </c>
      <c r="E744">
        <v>0</v>
      </c>
      <c r="F744">
        <v>0</v>
      </c>
      <c r="G74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44" s="1" t="s">
        <v>21</v>
      </c>
      <c r="I744" s="1" t="s">
        <v>15</v>
      </c>
      <c r="J744" s="1" t="s">
        <v>17</v>
      </c>
      <c r="K744">
        <v>0</v>
      </c>
    </row>
    <row r="745" spans="1:11" x14ac:dyDescent="0.3">
      <c r="A745" s="1" t="s">
        <v>13</v>
      </c>
      <c r="B745">
        <v>46</v>
      </c>
      <c r="C745" t="str" cm="1">
        <f t="array" ref="C745">_xlfn.IFS(
    Dataset[[#This Row],[Age]]&lt;=10, "0-10",
    AND(Dataset[[#This Row],[Age]]&gt;10, Dataset[[#This Row],[Age]]&lt;=18), "11-18",
    AND(Dataset[[#This Row],[Age]]&gt;18, Dataset[[#This Row],[Age]]&lt;=30), "19-30",
    AND(Dataset[[#This Row],[Age]]&gt;30, Dataset[[#This Row],[Age]]&lt;=60), "31-60",
    Dataset[[#This Row],[Age]]&gt;60, "above 60"
)</f>
        <v>31-60</v>
      </c>
      <c r="D745">
        <v>0</v>
      </c>
      <c r="E745">
        <v>0</v>
      </c>
      <c r="F745">
        <v>0</v>
      </c>
      <c r="G74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45" s="1" t="s">
        <v>26</v>
      </c>
      <c r="I745" s="1" t="s">
        <v>11</v>
      </c>
      <c r="J745" s="1" t="s">
        <v>12</v>
      </c>
      <c r="K745">
        <v>0</v>
      </c>
    </row>
    <row r="746" spans="1:11" x14ac:dyDescent="0.3">
      <c r="A746" s="1" t="s">
        <v>13</v>
      </c>
      <c r="B746">
        <v>21</v>
      </c>
      <c r="C746" t="str" cm="1">
        <f t="array" ref="C746">_xlfn.IFS(
    Dataset[[#This Row],[Age]]&lt;=10, "0-10",
    AND(Dataset[[#This Row],[Age]]&gt;10, Dataset[[#This Row],[Age]]&lt;=18), "11-18",
    AND(Dataset[[#This Row],[Age]]&gt;18, Dataset[[#This Row],[Age]]&lt;=30), "19-30",
    AND(Dataset[[#This Row],[Age]]&gt;30, Dataset[[#This Row],[Age]]&lt;=60), "31-60",
    Dataset[[#This Row],[Age]]&gt;60, "above 60"
)</f>
        <v>19-30</v>
      </c>
      <c r="D746">
        <v>1</v>
      </c>
      <c r="E746">
        <v>1</v>
      </c>
      <c r="F746">
        <v>0</v>
      </c>
      <c r="G74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46" s="1" t="s">
        <v>34</v>
      </c>
      <c r="I746" s="1" t="s">
        <v>15</v>
      </c>
      <c r="J746" s="1" t="s">
        <v>17</v>
      </c>
      <c r="K746">
        <v>1</v>
      </c>
    </row>
    <row r="747" spans="1:11" x14ac:dyDescent="0.3">
      <c r="A747" s="1" t="s">
        <v>9</v>
      </c>
      <c r="B747">
        <v>61</v>
      </c>
      <c r="C747" t="str" cm="1">
        <f t="array" ref="C747">_xlfn.IFS(
    Dataset[[#This Row],[Age]]&lt;=10, "0-10",
    AND(Dataset[[#This Row],[Age]]&gt;10, Dataset[[#This Row],[Age]]&lt;=18), "11-18",
    AND(Dataset[[#This Row],[Age]]&gt;18, Dataset[[#This Row],[Age]]&lt;=30), "19-30",
    AND(Dataset[[#This Row],[Age]]&gt;30, Dataset[[#This Row],[Age]]&lt;=60), "31-60",
    Dataset[[#This Row],[Age]]&gt;60, "above 60"
)</f>
        <v>above 60</v>
      </c>
      <c r="D747">
        <v>0</v>
      </c>
      <c r="E747">
        <v>0</v>
      </c>
      <c r="F747">
        <v>0</v>
      </c>
      <c r="G74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47" s="1" t="s">
        <v>20</v>
      </c>
      <c r="I747" s="1" t="s">
        <v>11</v>
      </c>
      <c r="J747" s="1" t="s">
        <v>22</v>
      </c>
      <c r="K747">
        <v>0</v>
      </c>
    </row>
    <row r="748" spans="1:11" x14ac:dyDescent="0.3">
      <c r="A748" s="1" t="s">
        <v>13</v>
      </c>
      <c r="B748">
        <v>35</v>
      </c>
      <c r="C748" t="str" cm="1">
        <f t="array" ref="C748">_xlfn.IFS(
    Dataset[[#This Row],[Age]]&lt;=10, "0-10",
    AND(Dataset[[#This Row],[Age]]&gt;10, Dataset[[#This Row],[Age]]&lt;=18), "11-18",
    AND(Dataset[[#This Row],[Age]]&gt;18, Dataset[[#This Row],[Age]]&lt;=30), "19-30",
    AND(Dataset[[#This Row],[Age]]&gt;30, Dataset[[#This Row],[Age]]&lt;=60), "31-60",
    Dataset[[#This Row],[Age]]&gt;60, "above 60"
)</f>
        <v>31-60</v>
      </c>
      <c r="D748">
        <v>1</v>
      </c>
      <c r="E748">
        <v>1</v>
      </c>
      <c r="F748">
        <v>1</v>
      </c>
      <c r="G74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48" s="1" t="s">
        <v>32</v>
      </c>
      <c r="I748" s="1" t="s">
        <v>15</v>
      </c>
      <c r="J748" s="1" t="s">
        <v>12</v>
      </c>
      <c r="K748">
        <v>1</v>
      </c>
    </row>
    <row r="749" spans="1:11" x14ac:dyDescent="0.3">
      <c r="A749" s="1" t="s">
        <v>9</v>
      </c>
      <c r="B749">
        <v>46</v>
      </c>
      <c r="C749" t="str" cm="1">
        <f t="array" ref="C749">_xlfn.IFS(
    Dataset[[#This Row],[Age]]&lt;=10, "0-10",
    AND(Dataset[[#This Row],[Age]]&gt;10, Dataset[[#This Row],[Age]]&lt;=18), "11-18",
    AND(Dataset[[#This Row],[Age]]&gt;18, Dataset[[#This Row],[Age]]&lt;=30), "19-30",
    AND(Dataset[[#This Row],[Age]]&gt;30, Dataset[[#This Row],[Age]]&lt;=60), "31-60",
    Dataset[[#This Row],[Age]]&gt;60, "above 60"
)</f>
        <v>31-60</v>
      </c>
      <c r="D749">
        <v>1</v>
      </c>
      <c r="E749">
        <v>1</v>
      </c>
      <c r="F749">
        <v>1</v>
      </c>
      <c r="G74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49" s="1" t="s">
        <v>47</v>
      </c>
      <c r="I749" s="1" t="s">
        <v>11</v>
      </c>
      <c r="J749" s="1" t="s">
        <v>22</v>
      </c>
      <c r="K749">
        <v>1</v>
      </c>
    </row>
    <row r="750" spans="1:11" x14ac:dyDescent="0.3">
      <c r="A750" s="1" t="s">
        <v>9</v>
      </c>
      <c r="B750">
        <v>11</v>
      </c>
      <c r="C750" t="str" cm="1">
        <f t="array" ref="C750">_xlfn.IFS(
    Dataset[[#This Row],[Age]]&lt;=10, "0-10",
    AND(Dataset[[#This Row],[Age]]&gt;10, Dataset[[#This Row],[Age]]&lt;=18), "11-18",
    AND(Dataset[[#This Row],[Age]]&gt;18, Dataset[[#This Row],[Age]]&lt;=30), "19-30",
    AND(Dataset[[#This Row],[Age]]&gt;30, Dataset[[#This Row],[Age]]&lt;=60), "31-60",
    Dataset[[#This Row],[Age]]&gt;60, "above 60"
)</f>
        <v>11-18</v>
      </c>
      <c r="D750">
        <v>0</v>
      </c>
      <c r="E750">
        <v>0</v>
      </c>
      <c r="F750">
        <v>0</v>
      </c>
      <c r="G75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50" s="1" t="s">
        <v>34</v>
      </c>
      <c r="I750" s="1" t="s">
        <v>15</v>
      </c>
      <c r="J750" s="1" t="s">
        <v>17</v>
      </c>
      <c r="K750">
        <v>0</v>
      </c>
    </row>
    <row r="751" spans="1:11" x14ac:dyDescent="0.3">
      <c r="A751" s="1" t="s">
        <v>13</v>
      </c>
      <c r="B751">
        <v>49</v>
      </c>
      <c r="C751" t="str" cm="1">
        <f t="array" ref="C751">_xlfn.IFS(
    Dataset[[#This Row],[Age]]&lt;=10, "0-10",
    AND(Dataset[[#This Row],[Age]]&gt;10, Dataset[[#This Row],[Age]]&lt;=18), "11-18",
    AND(Dataset[[#This Row],[Age]]&gt;18, Dataset[[#This Row],[Age]]&lt;=30), "19-30",
    AND(Dataset[[#This Row],[Age]]&gt;30, Dataset[[#This Row],[Age]]&lt;=60), "31-60",
    Dataset[[#This Row],[Age]]&gt;60, "above 60"
)</f>
        <v>31-60</v>
      </c>
      <c r="D751">
        <v>1</v>
      </c>
      <c r="E751">
        <v>1</v>
      </c>
      <c r="F751">
        <v>0</v>
      </c>
      <c r="G75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51" s="1" t="s">
        <v>24</v>
      </c>
      <c r="I751" s="1" t="s">
        <v>11</v>
      </c>
      <c r="J751" s="1" t="s">
        <v>12</v>
      </c>
      <c r="K751">
        <v>1</v>
      </c>
    </row>
    <row r="752" spans="1:11" x14ac:dyDescent="0.3">
      <c r="A752" s="1" t="s">
        <v>9</v>
      </c>
      <c r="B752">
        <v>43</v>
      </c>
      <c r="C752" t="str" cm="1">
        <f t="array" ref="C752">_xlfn.IFS(
    Dataset[[#This Row],[Age]]&lt;=10, "0-10",
    AND(Dataset[[#This Row],[Age]]&gt;10, Dataset[[#This Row],[Age]]&lt;=18), "11-18",
    AND(Dataset[[#This Row],[Age]]&gt;18, Dataset[[#This Row],[Age]]&lt;=30), "19-30",
    AND(Dataset[[#This Row],[Age]]&gt;30, Dataset[[#This Row],[Age]]&lt;=60), "31-60",
    Dataset[[#This Row],[Age]]&gt;60, "above 60"
)</f>
        <v>31-60</v>
      </c>
      <c r="D752">
        <v>1</v>
      </c>
      <c r="E752">
        <v>1</v>
      </c>
      <c r="F752">
        <v>1</v>
      </c>
      <c r="G75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52" s="1" t="s">
        <v>20</v>
      </c>
      <c r="I752" s="1" t="s">
        <v>15</v>
      </c>
      <c r="J752" s="1" t="s">
        <v>17</v>
      </c>
      <c r="K752">
        <v>1</v>
      </c>
    </row>
    <row r="753" spans="1:11" x14ac:dyDescent="0.3">
      <c r="A753" s="1" t="s">
        <v>9</v>
      </c>
      <c r="B753">
        <v>49</v>
      </c>
      <c r="C753" t="str" cm="1">
        <f t="array" ref="C753">_xlfn.IFS(
    Dataset[[#This Row],[Age]]&lt;=10, "0-10",
    AND(Dataset[[#This Row],[Age]]&gt;10, Dataset[[#This Row],[Age]]&lt;=18), "11-18",
    AND(Dataset[[#This Row],[Age]]&gt;18, Dataset[[#This Row],[Age]]&lt;=30), "19-30",
    AND(Dataset[[#This Row],[Age]]&gt;30, Dataset[[#This Row],[Age]]&lt;=60), "31-60",
    Dataset[[#This Row],[Age]]&gt;60, "above 60"
)</f>
        <v>31-60</v>
      </c>
      <c r="D753">
        <v>1</v>
      </c>
      <c r="E753">
        <v>1</v>
      </c>
      <c r="F753">
        <v>0</v>
      </c>
      <c r="G75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53" s="1" t="s">
        <v>44</v>
      </c>
      <c r="I753" s="1" t="s">
        <v>11</v>
      </c>
      <c r="J753" s="1" t="s">
        <v>22</v>
      </c>
      <c r="K753">
        <v>1</v>
      </c>
    </row>
    <row r="754" spans="1:11" x14ac:dyDescent="0.3">
      <c r="A754" s="1" t="s">
        <v>13</v>
      </c>
      <c r="B754">
        <v>46</v>
      </c>
      <c r="C754" t="str" cm="1">
        <f t="array" ref="C754">_xlfn.IFS(
    Dataset[[#This Row],[Age]]&lt;=10, "0-10",
    AND(Dataset[[#This Row],[Age]]&gt;10, Dataset[[#This Row],[Age]]&lt;=18), "11-18",
    AND(Dataset[[#This Row],[Age]]&gt;18, Dataset[[#This Row],[Age]]&lt;=30), "19-30",
    AND(Dataset[[#This Row],[Age]]&gt;30, Dataset[[#This Row],[Age]]&lt;=60), "31-60",
    Dataset[[#This Row],[Age]]&gt;60, "above 60"
)</f>
        <v>31-60</v>
      </c>
      <c r="D754">
        <v>1</v>
      </c>
      <c r="E754">
        <v>1</v>
      </c>
      <c r="F754">
        <v>0</v>
      </c>
      <c r="G75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54" s="1" t="s">
        <v>42</v>
      </c>
      <c r="I754" s="1" t="s">
        <v>15</v>
      </c>
      <c r="J754" s="1" t="s">
        <v>22</v>
      </c>
      <c r="K754">
        <v>1</v>
      </c>
    </row>
    <row r="755" spans="1:11" x14ac:dyDescent="0.3">
      <c r="A755" s="1" t="s">
        <v>9</v>
      </c>
      <c r="B755">
        <v>50</v>
      </c>
      <c r="C755" t="str" cm="1">
        <f t="array" ref="C755">_xlfn.IFS(
    Dataset[[#This Row],[Age]]&lt;=10, "0-10",
    AND(Dataset[[#This Row],[Age]]&gt;10, Dataset[[#This Row],[Age]]&lt;=18), "11-18",
    AND(Dataset[[#This Row],[Age]]&gt;18, Dataset[[#This Row],[Age]]&lt;=30), "19-30",
    AND(Dataset[[#This Row],[Age]]&gt;30, Dataset[[#This Row],[Age]]&lt;=60), "31-60",
    Dataset[[#This Row],[Age]]&gt;60, "above 60"
)</f>
        <v>31-60</v>
      </c>
      <c r="D755">
        <v>0</v>
      </c>
      <c r="E755">
        <v>0</v>
      </c>
      <c r="F755">
        <v>1</v>
      </c>
      <c r="G75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55" s="1" t="s">
        <v>10</v>
      </c>
      <c r="I755" s="1" t="s">
        <v>11</v>
      </c>
      <c r="J755" s="1" t="s">
        <v>12</v>
      </c>
      <c r="K755">
        <v>0</v>
      </c>
    </row>
    <row r="756" spans="1:11" x14ac:dyDescent="0.3">
      <c r="A756" s="1" t="s">
        <v>13</v>
      </c>
      <c r="B756">
        <v>20</v>
      </c>
      <c r="C756" t="str" cm="1">
        <f t="array" ref="C756">_xlfn.IFS(
    Dataset[[#This Row],[Age]]&lt;=10, "0-10",
    AND(Dataset[[#This Row],[Age]]&gt;10, Dataset[[#This Row],[Age]]&lt;=18), "11-18",
    AND(Dataset[[#This Row],[Age]]&gt;18, Dataset[[#This Row],[Age]]&lt;=30), "19-30",
    AND(Dataset[[#This Row],[Age]]&gt;30, Dataset[[#This Row],[Age]]&lt;=60), "31-60",
    Dataset[[#This Row],[Age]]&gt;60, "above 60"
)</f>
        <v>19-30</v>
      </c>
      <c r="D756">
        <v>0</v>
      </c>
      <c r="E756">
        <v>0</v>
      </c>
      <c r="F756">
        <v>0</v>
      </c>
      <c r="G75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56" s="1" t="s">
        <v>25</v>
      </c>
      <c r="I756" s="1" t="s">
        <v>15</v>
      </c>
      <c r="J756" s="1" t="s">
        <v>12</v>
      </c>
      <c r="K756">
        <v>0</v>
      </c>
    </row>
    <row r="757" spans="1:11" x14ac:dyDescent="0.3">
      <c r="A757" s="1" t="s">
        <v>13</v>
      </c>
      <c r="B757">
        <v>58</v>
      </c>
      <c r="C757" t="str" cm="1">
        <f t="array" ref="C757">_xlfn.IFS(
    Dataset[[#This Row],[Age]]&lt;=10, "0-10",
    AND(Dataset[[#This Row],[Age]]&gt;10, Dataset[[#This Row],[Age]]&lt;=18), "11-18",
    AND(Dataset[[#This Row],[Age]]&gt;18, Dataset[[#This Row],[Age]]&lt;=30), "19-30",
    AND(Dataset[[#This Row],[Age]]&gt;30, Dataset[[#This Row],[Age]]&lt;=60), "31-60",
    Dataset[[#This Row],[Age]]&gt;60, "above 60"
)</f>
        <v>31-60</v>
      </c>
      <c r="D757">
        <v>1</v>
      </c>
      <c r="E757">
        <v>1</v>
      </c>
      <c r="F757">
        <v>1</v>
      </c>
      <c r="G75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57" s="1" t="s">
        <v>24</v>
      </c>
      <c r="I757" s="1" t="s">
        <v>11</v>
      </c>
      <c r="J757" s="1" t="s">
        <v>22</v>
      </c>
      <c r="K757">
        <v>1</v>
      </c>
    </row>
    <row r="758" spans="1:11" x14ac:dyDescent="0.3">
      <c r="A758" s="1" t="s">
        <v>9</v>
      </c>
      <c r="B758">
        <v>46</v>
      </c>
      <c r="C758" t="str" cm="1">
        <f t="array" ref="C758">_xlfn.IFS(
    Dataset[[#This Row],[Age]]&lt;=10, "0-10",
    AND(Dataset[[#This Row],[Age]]&gt;10, Dataset[[#This Row],[Age]]&lt;=18), "11-18",
    AND(Dataset[[#This Row],[Age]]&gt;18, Dataset[[#This Row],[Age]]&lt;=30), "19-30",
    AND(Dataset[[#This Row],[Age]]&gt;30, Dataset[[#This Row],[Age]]&lt;=60), "31-60",
    Dataset[[#This Row],[Age]]&gt;60, "above 60"
)</f>
        <v>31-60</v>
      </c>
      <c r="D758">
        <v>0</v>
      </c>
      <c r="E758">
        <v>0</v>
      </c>
      <c r="F758">
        <v>0</v>
      </c>
      <c r="G75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58" s="1" t="s">
        <v>44</v>
      </c>
      <c r="I758" s="1" t="s">
        <v>15</v>
      </c>
      <c r="J758" s="1" t="s">
        <v>22</v>
      </c>
      <c r="K758">
        <v>0</v>
      </c>
    </row>
    <row r="759" spans="1:11" x14ac:dyDescent="0.3">
      <c r="A759" s="1" t="s">
        <v>13</v>
      </c>
      <c r="B759">
        <v>24</v>
      </c>
      <c r="C759" t="str" cm="1">
        <f t="array" ref="C759">_xlfn.IFS(
    Dataset[[#This Row],[Age]]&lt;=10, "0-10",
    AND(Dataset[[#This Row],[Age]]&gt;10, Dataset[[#This Row],[Age]]&lt;=18), "11-18",
    AND(Dataset[[#This Row],[Age]]&gt;18, Dataset[[#This Row],[Age]]&lt;=30), "19-30",
    AND(Dataset[[#This Row],[Age]]&gt;30, Dataset[[#This Row],[Age]]&lt;=60), "31-60",
    Dataset[[#This Row],[Age]]&gt;60, "above 60"
)</f>
        <v>19-30</v>
      </c>
      <c r="D759">
        <v>0</v>
      </c>
      <c r="E759">
        <v>0</v>
      </c>
      <c r="F759">
        <v>1</v>
      </c>
      <c r="G75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59" s="1" t="s">
        <v>25</v>
      </c>
      <c r="I759" s="1" t="s">
        <v>11</v>
      </c>
      <c r="J759" s="1" t="s">
        <v>12</v>
      </c>
      <c r="K759">
        <v>0</v>
      </c>
    </row>
    <row r="760" spans="1:11" x14ac:dyDescent="0.3">
      <c r="A760" s="1" t="s">
        <v>13</v>
      </c>
      <c r="B760">
        <v>29</v>
      </c>
      <c r="C760" t="str" cm="1">
        <f t="array" ref="C760">_xlfn.IFS(
    Dataset[[#This Row],[Age]]&lt;=10, "0-10",
    AND(Dataset[[#This Row],[Age]]&gt;10, Dataset[[#This Row],[Age]]&lt;=18), "11-18",
    AND(Dataset[[#This Row],[Age]]&gt;18, Dataset[[#This Row],[Age]]&lt;=30), "19-30",
    AND(Dataset[[#This Row],[Age]]&gt;30, Dataset[[#This Row],[Age]]&lt;=60), "31-60",
    Dataset[[#This Row],[Age]]&gt;60, "above 60"
)</f>
        <v>19-30</v>
      </c>
      <c r="D760">
        <v>0</v>
      </c>
      <c r="E760">
        <v>0</v>
      </c>
      <c r="F760">
        <v>0</v>
      </c>
      <c r="G76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60" s="1" t="s">
        <v>40</v>
      </c>
      <c r="I760" s="1" t="s">
        <v>15</v>
      </c>
      <c r="J760" s="1" t="s">
        <v>17</v>
      </c>
      <c r="K760">
        <v>0</v>
      </c>
    </row>
    <row r="761" spans="1:11" x14ac:dyDescent="0.3">
      <c r="A761" s="1" t="s">
        <v>13</v>
      </c>
      <c r="B761">
        <v>46</v>
      </c>
      <c r="C761" t="str" cm="1">
        <f t="array" ref="C761">_xlfn.IFS(
    Dataset[[#This Row],[Age]]&lt;=10, "0-10",
    AND(Dataset[[#This Row],[Age]]&gt;10, Dataset[[#This Row],[Age]]&lt;=18), "11-18",
    AND(Dataset[[#This Row],[Age]]&gt;18, Dataset[[#This Row],[Age]]&lt;=30), "19-30",
    AND(Dataset[[#This Row],[Age]]&gt;30, Dataset[[#This Row],[Age]]&lt;=60), "31-60",
    Dataset[[#This Row],[Age]]&gt;60, "above 60"
)</f>
        <v>31-60</v>
      </c>
      <c r="D761">
        <v>0</v>
      </c>
      <c r="E761">
        <v>0</v>
      </c>
      <c r="F761">
        <v>1</v>
      </c>
      <c r="G76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61" s="1" t="s">
        <v>48</v>
      </c>
      <c r="I761" s="1" t="s">
        <v>11</v>
      </c>
      <c r="J761" s="1" t="s">
        <v>22</v>
      </c>
      <c r="K761">
        <v>0</v>
      </c>
    </row>
    <row r="762" spans="1:11" x14ac:dyDescent="0.3">
      <c r="A762" s="1" t="s">
        <v>13</v>
      </c>
      <c r="B762">
        <v>42</v>
      </c>
      <c r="C762" t="str" cm="1">
        <f t="array" ref="C762">_xlfn.IFS(
    Dataset[[#This Row],[Age]]&lt;=10, "0-10",
    AND(Dataset[[#This Row],[Age]]&gt;10, Dataset[[#This Row],[Age]]&lt;=18), "11-18",
    AND(Dataset[[#This Row],[Age]]&gt;18, Dataset[[#This Row],[Age]]&lt;=30), "19-30",
    AND(Dataset[[#This Row],[Age]]&gt;30, Dataset[[#This Row],[Age]]&lt;=60), "31-60",
    Dataset[[#This Row],[Age]]&gt;60, "above 60"
)</f>
        <v>31-60</v>
      </c>
      <c r="D762">
        <v>1</v>
      </c>
      <c r="E762">
        <v>1</v>
      </c>
      <c r="F762">
        <v>1</v>
      </c>
      <c r="G76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62" s="1" t="s">
        <v>49</v>
      </c>
      <c r="I762" s="1" t="s">
        <v>15</v>
      </c>
      <c r="J762" s="1" t="s">
        <v>12</v>
      </c>
      <c r="K762">
        <v>1</v>
      </c>
    </row>
    <row r="763" spans="1:11" x14ac:dyDescent="0.3">
      <c r="A763" s="1" t="s">
        <v>9</v>
      </c>
      <c r="B763">
        <v>56</v>
      </c>
      <c r="C763" t="str" cm="1">
        <f t="array" ref="C763">_xlfn.IFS(
    Dataset[[#This Row],[Age]]&lt;=10, "0-10",
    AND(Dataset[[#This Row],[Age]]&gt;10, Dataset[[#This Row],[Age]]&lt;=18), "11-18",
    AND(Dataset[[#This Row],[Age]]&gt;18, Dataset[[#This Row],[Age]]&lt;=30), "19-30",
    AND(Dataset[[#This Row],[Age]]&gt;30, Dataset[[#This Row],[Age]]&lt;=60), "31-60",
    Dataset[[#This Row],[Age]]&gt;60, "above 60"
)</f>
        <v>31-60</v>
      </c>
      <c r="D763">
        <v>0</v>
      </c>
      <c r="E763">
        <v>0</v>
      </c>
      <c r="F763">
        <v>0</v>
      </c>
      <c r="G76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63" s="1" t="s">
        <v>40</v>
      </c>
      <c r="I763" s="1" t="s">
        <v>11</v>
      </c>
      <c r="J763" s="1" t="s">
        <v>17</v>
      </c>
      <c r="K763">
        <v>0</v>
      </c>
    </row>
    <row r="764" spans="1:11" x14ac:dyDescent="0.3">
      <c r="A764" s="1" t="s">
        <v>13</v>
      </c>
      <c r="B764">
        <v>8</v>
      </c>
      <c r="C764" t="str" cm="1">
        <f t="array" ref="C764">_xlfn.IFS(
    Dataset[[#This Row],[Age]]&lt;=10, "0-10",
    AND(Dataset[[#This Row],[Age]]&gt;10, Dataset[[#This Row],[Age]]&lt;=18), "11-18",
    AND(Dataset[[#This Row],[Age]]&gt;18, Dataset[[#This Row],[Age]]&lt;=30), "19-30",
    AND(Dataset[[#This Row],[Age]]&gt;30, Dataset[[#This Row],[Age]]&lt;=60), "31-60",
    Dataset[[#This Row],[Age]]&gt;60, "above 60"
)</f>
        <v>0-10</v>
      </c>
      <c r="D764">
        <v>0</v>
      </c>
      <c r="E764">
        <v>0</v>
      </c>
      <c r="F764">
        <v>0</v>
      </c>
      <c r="G76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64" s="1" t="s">
        <v>16</v>
      </c>
      <c r="I764" s="1" t="s">
        <v>15</v>
      </c>
      <c r="J764" s="1" t="s">
        <v>22</v>
      </c>
      <c r="K764">
        <v>0</v>
      </c>
    </row>
    <row r="765" spans="1:11" x14ac:dyDescent="0.3">
      <c r="A765" s="1" t="s">
        <v>13</v>
      </c>
      <c r="B765">
        <v>13</v>
      </c>
      <c r="C765" t="str" cm="1">
        <f t="array" ref="C765">_xlfn.IFS(
    Dataset[[#This Row],[Age]]&lt;=10, "0-10",
    AND(Dataset[[#This Row],[Age]]&gt;10, Dataset[[#This Row],[Age]]&lt;=18), "11-18",
    AND(Dataset[[#This Row],[Age]]&gt;18, Dataset[[#This Row],[Age]]&lt;=30), "19-30",
    AND(Dataset[[#This Row],[Age]]&gt;30, Dataset[[#This Row],[Age]]&lt;=60), "31-60",
    Dataset[[#This Row],[Age]]&gt;60, "above 60"
)</f>
        <v>11-18</v>
      </c>
      <c r="D765">
        <v>0</v>
      </c>
      <c r="E765">
        <v>0</v>
      </c>
      <c r="F765">
        <v>0</v>
      </c>
      <c r="G76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65" s="1" t="s">
        <v>39</v>
      </c>
      <c r="I765" s="1" t="s">
        <v>11</v>
      </c>
      <c r="J765" s="1" t="s">
        <v>12</v>
      </c>
      <c r="K765">
        <v>0</v>
      </c>
    </row>
    <row r="766" spans="1:11" x14ac:dyDescent="0.3">
      <c r="A766" s="1" t="s">
        <v>13</v>
      </c>
      <c r="B766">
        <v>10</v>
      </c>
      <c r="C766" t="str" cm="1">
        <f t="array" ref="C766">_xlfn.IFS(
    Dataset[[#This Row],[Age]]&lt;=10, "0-10",
    AND(Dataset[[#This Row],[Age]]&gt;10, Dataset[[#This Row],[Age]]&lt;=18), "11-18",
    AND(Dataset[[#This Row],[Age]]&gt;18, Dataset[[#This Row],[Age]]&lt;=30), "19-30",
    AND(Dataset[[#This Row],[Age]]&gt;30, Dataset[[#This Row],[Age]]&lt;=60), "31-60",
    Dataset[[#This Row],[Age]]&gt;60, "above 60"
)</f>
        <v>0-10</v>
      </c>
      <c r="D766">
        <v>1</v>
      </c>
      <c r="E766">
        <v>1</v>
      </c>
      <c r="F766">
        <v>0</v>
      </c>
      <c r="G76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66" s="1" t="s">
        <v>27</v>
      </c>
      <c r="I766" s="1" t="s">
        <v>15</v>
      </c>
      <c r="J766" s="1" t="s">
        <v>22</v>
      </c>
      <c r="K766">
        <v>1</v>
      </c>
    </row>
    <row r="767" spans="1:11" x14ac:dyDescent="0.3">
      <c r="A767" s="1" t="s">
        <v>13</v>
      </c>
      <c r="B767">
        <v>34</v>
      </c>
      <c r="C767" t="str" cm="1">
        <f t="array" ref="C767">_xlfn.IFS(
    Dataset[[#This Row],[Age]]&lt;=10, "0-10",
    AND(Dataset[[#This Row],[Age]]&gt;10, Dataset[[#This Row],[Age]]&lt;=18), "11-18",
    AND(Dataset[[#This Row],[Age]]&gt;18, Dataset[[#This Row],[Age]]&lt;=30), "19-30",
    AND(Dataset[[#This Row],[Age]]&gt;30, Dataset[[#This Row],[Age]]&lt;=60), "31-60",
    Dataset[[#This Row],[Age]]&gt;60, "above 60"
)</f>
        <v>31-60</v>
      </c>
      <c r="D767">
        <v>0</v>
      </c>
      <c r="E767">
        <v>0</v>
      </c>
      <c r="F767">
        <v>1</v>
      </c>
      <c r="G76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67" s="1" t="s">
        <v>50</v>
      </c>
      <c r="I767" s="1" t="s">
        <v>11</v>
      </c>
      <c r="J767" s="1" t="s">
        <v>17</v>
      </c>
      <c r="K767">
        <v>0</v>
      </c>
    </row>
    <row r="768" spans="1:11" x14ac:dyDescent="0.3">
      <c r="A768" s="1" t="s">
        <v>9</v>
      </c>
      <c r="B768">
        <v>33</v>
      </c>
      <c r="C768" t="str" cm="1">
        <f t="array" ref="C768">_xlfn.IFS(
    Dataset[[#This Row],[Age]]&lt;=10, "0-10",
    AND(Dataset[[#This Row],[Age]]&gt;10, Dataset[[#This Row],[Age]]&lt;=18), "11-18",
    AND(Dataset[[#This Row],[Age]]&gt;18, Dataset[[#This Row],[Age]]&lt;=30), "19-30",
    AND(Dataset[[#This Row],[Age]]&gt;30, Dataset[[#This Row],[Age]]&lt;=60), "31-60",
    Dataset[[#This Row],[Age]]&gt;60, "above 60"
)</f>
        <v>31-60</v>
      </c>
      <c r="D768">
        <v>1</v>
      </c>
      <c r="E768">
        <v>1</v>
      </c>
      <c r="F768">
        <v>1</v>
      </c>
      <c r="G76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68" s="1" t="s">
        <v>42</v>
      </c>
      <c r="I768" s="1" t="s">
        <v>15</v>
      </c>
      <c r="J768" s="1" t="s">
        <v>22</v>
      </c>
      <c r="K768">
        <v>1</v>
      </c>
    </row>
    <row r="769" spans="1:11" x14ac:dyDescent="0.3">
      <c r="A769" s="1" t="s">
        <v>13</v>
      </c>
      <c r="B769">
        <v>43</v>
      </c>
      <c r="C769" t="str" cm="1">
        <f t="array" ref="C769">_xlfn.IFS(
    Dataset[[#This Row],[Age]]&lt;=10, "0-10",
    AND(Dataset[[#This Row],[Age]]&gt;10, Dataset[[#This Row],[Age]]&lt;=18), "11-18",
    AND(Dataset[[#This Row],[Age]]&gt;18, Dataset[[#This Row],[Age]]&lt;=30), "19-30",
    AND(Dataset[[#This Row],[Age]]&gt;30, Dataset[[#This Row],[Age]]&lt;=60), "31-60",
    Dataset[[#This Row],[Age]]&gt;60, "above 60"
)</f>
        <v>31-60</v>
      </c>
      <c r="D769">
        <v>1</v>
      </c>
      <c r="E769">
        <v>1</v>
      </c>
      <c r="F769">
        <v>0</v>
      </c>
      <c r="G76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69" s="1" t="s">
        <v>35</v>
      </c>
      <c r="I769" s="1" t="s">
        <v>11</v>
      </c>
      <c r="J769" s="1" t="s">
        <v>17</v>
      </c>
      <c r="K769">
        <v>1</v>
      </c>
    </row>
    <row r="770" spans="1:11" x14ac:dyDescent="0.3">
      <c r="A770" s="1" t="s">
        <v>9</v>
      </c>
      <c r="B770">
        <v>36</v>
      </c>
      <c r="C770" t="str" cm="1">
        <f t="array" ref="C770">_xlfn.IFS(
    Dataset[[#This Row],[Age]]&lt;=10, "0-10",
    AND(Dataset[[#This Row],[Age]]&gt;10, Dataset[[#This Row],[Age]]&lt;=18), "11-18",
    AND(Dataset[[#This Row],[Age]]&gt;18, Dataset[[#This Row],[Age]]&lt;=30), "19-30",
    AND(Dataset[[#This Row],[Age]]&gt;30, Dataset[[#This Row],[Age]]&lt;=60), "31-60",
    Dataset[[#This Row],[Age]]&gt;60, "above 60"
)</f>
        <v>31-60</v>
      </c>
      <c r="D770">
        <v>1</v>
      </c>
      <c r="E770">
        <v>1</v>
      </c>
      <c r="F770">
        <v>0</v>
      </c>
      <c r="G77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70" s="1" t="s">
        <v>37</v>
      </c>
      <c r="I770" s="1" t="s">
        <v>15</v>
      </c>
      <c r="J770" s="1" t="s">
        <v>17</v>
      </c>
      <c r="K770">
        <v>1</v>
      </c>
    </row>
    <row r="771" spans="1:11" x14ac:dyDescent="0.3">
      <c r="A771" s="1" t="s">
        <v>9</v>
      </c>
      <c r="B771">
        <v>50</v>
      </c>
      <c r="C771" t="str" cm="1">
        <f t="array" ref="C771">_xlfn.IFS(
    Dataset[[#This Row],[Age]]&lt;=10, "0-10",
    AND(Dataset[[#This Row],[Age]]&gt;10, Dataset[[#This Row],[Age]]&lt;=18), "11-18",
    AND(Dataset[[#This Row],[Age]]&gt;18, Dataset[[#This Row],[Age]]&lt;=30), "19-30",
    AND(Dataset[[#This Row],[Age]]&gt;30, Dataset[[#This Row],[Age]]&lt;=60), "31-60",
    Dataset[[#This Row],[Age]]&gt;60, "above 60"
)</f>
        <v>31-60</v>
      </c>
      <c r="D771">
        <v>1</v>
      </c>
      <c r="E771">
        <v>1</v>
      </c>
      <c r="F771">
        <v>0</v>
      </c>
      <c r="G77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71" s="1" t="s">
        <v>25</v>
      </c>
      <c r="I771" s="1" t="s">
        <v>11</v>
      </c>
      <c r="J771" s="1" t="s">
        <v>17</v>
      </c>
      <c r="K771">
        <v>1</v>
      </c>
    </row>
    <row r="772" spans="1:11" x14ac:dyDescent="0.3">
      <c r="A772" s="1" t="s">
        <v>13</v>
      </c>
      <c r="B772">
        <v>14</v>
      </c>
      <c r="C772" t="str" cm="1">
        <f t="array" ref="C772">_xlfn.IFS(
    Dataset[[#This Row],[Age]]&lt;=10, "0-10",
    AND(Dataset[[#This Row],[Age]]&gt;10, Dataset[[#This Row],[Age]]&lt;=18), "11-18",
    AND(Dataset[[#This Row],[Age]]&gt;18, Dataset[[#This Row],[Age]]&lt;=30), "19-30",
    AND(Dataset[[#This Row],[Age]]&gt;30, Dataset[[#This Row],[Age]]&lt;=60), "31-60",
    Dataset[[#This Row],[Age]]&gt;60, "above 60"
)</f>
        <v>11-18</v>
      </c>
      <c r="D772">
        <v>1</v>
      </c>
      <c r="E772">
        <v>1</v>
      </c>
      <c r="F772">
        <v>0</v>
      </c>
      <c r="G77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72" s="1" t="s">
        <v>38</v>
      </c>
      <c r="I772" s="1" t="s">
        <v>15</v>
      </c>
      <c r="J772" s="1" t="s">
        <v>12</v>
      </c>
      <c r="K772">
        <v>1</v>
      </c>
    </row>
    <row r="773" spans="1:11" x14ac:dyDescent="0.3">
      <c r="A773" s="1" t="s">
        <v>13</v>
      </c>
      <c r="B773">
        <v>10</v>
      </c>
      <c r="C773" t="str" cm="1">
        <f t="array" ref="C773">_xlfn.IFS(
    Dataset[[#This Row],[Age]]&lt;=10, "0-10",
    AND(Dataset[[#This Row],[Age]]&gt;10, Dataset[[#This Row],[Age]]&lt;=18), "11-18",
    AND(Dataset[[#This Row],[Age]]&gt;18, Dataset[[#This Row],[Age]]&lt;=30), "19-30",
    AND(Dataset[[#This Row],[Age]]&gt;30, Dataset[[#This Row],[Age]]&lt;=60), "31-60",
    Dataset[[#This Row],[Age]]&gt;60, "above 60"
)</f>
        <v>0-10</v>
      </c>
      <c r="D773">
        <v>0</v>
      </c>
      <c r="E773">
        <v>0</v>
      </c>
      <c r="F773">
        <v>1</v>
      </c>
      <c r="G77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73" s="1" t="s">
        <v>35</v>
      </c>
      <c r="I773" s="1" t="s">
        <v>11</v>
      </c>
      <c r="J773" s="1" t="s">
        <v>17</v>
      </c>
      <c r="K773">
        <v>0</v>
      </c>
    </row>
    <row r="774" spans="1:11" x14ac:dyDescent="0.3">
      <c r="A774" s="1" t="s">
        <v>13</v>
      </c>
      <c r="B774">
        <v>50</v>
      </c>
      <c r="C774" t="str" cm="1">
        <f t="array" ref="C774">_xlfn.IFS(
    Dataset[[#This Row],[Age]]&lt;=10, "0-10",
    AND(Dataset[[#This Row],[Age]]&gt;10, Dataset[[#This Row],[Age]]&lt;=18), "11-18",
    AND(Dataset[[#This Row],[Age]]&gt;18, Dataset[[#This Row],[Age]]&lt;=30), "19-30",
    AND(Dataset[[#This Row],[Age]]&gt;30, Dataset[[#This Row],[Age]]&lt;=60), "31-60",
    Dataset[[#This Row],[Age]]&gt;60, "above 60"
)</f>
        <v>31-60</v>
      </c>
      <c r="D774">
        <v>1</v>
      </c>
      <c r="E774">
        <v>1</v>
      </c>
      <c r="F774">
        <v>0</v>
      </c>
      <c r="G77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74" s="1" t="s">
        <v>34</v>
      </c>
      <c r="I774" s="1" t="s">
        <v>15</v>
      </c>
      <c r="J774" s="1" t="s">
        <v>17</v>
      </c>
      <c r="K774">
        <v>1</v>
      </c>
    </row>
    <row r="775" spans="1:11" x14ac:dyDescent="0.3">
      <c r="A775" s="1" t="s">
        <v>13</v>
      </c>
      <c r="B775">
        <v>62</v>
      </c>
      <c r="C775" t="str" cm="1">
        <f t="array" ref="C775">_xlfn.IFS(
    Dataset[[#This Row],[Age]]&lt;=10, "0-10",
    AND(Dataset[[#This Row],[Age]]&gt;10, Dataset[[#This Row],[Age]]&lt;=18), "11-18",
    AND(Dataset[[#This Row],[Age]]&gt;18, Dataset[[#This Row],[Age]]&lt;=30), "19-30",
    AND(Dataset[[#This Row],[Age]]&gt;30, Dataset[[#This Row],[Age]]&lt;=60), "31-60",
    Dataset[[#This Row],[Age]]&gt;60, "above 60"
)</f>
        <v>above 60</v>
      </c>
      <c r="D775">
        <v>1</v>
      </c>
      <c r="E775">
        <v>1</v>
      </c>
      <c r="F775">
        <v>0</v>
      </c>
      <c r="G77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75" s="1" t="s">
        <v>27</v>
      </c>
      <c r="I775" s="1" t="s">
        <v>11</v>
      </c>
      <c r="J775" s="1" t="s">
        <v>17</v>
      </c>
      <c r="K775">
        <v>1</v>
      </c>
    </row>
    <row r="776" spans="1:11" x14ac:dyDescent="0.3">
      <c r="A776" s="1" t="s">
        <v>9</v>
      </c>
      <c r="B776">
        <v>11</v>
      </c>
      <c r="C776" t="str" cm="1">
        <f t="array" ref="C776">_xlfn.IFS(
    Dataset[[#This Row],[Age]]&lt;=10, "0-10",
    AND(Dataset[[#This Row],[Age]]&gt;10, Dataset[[#This Row],[Age]]&lt;=18), "11-18",
    AND(Dataset[[#This Row],[Age]]&gt;18, Dataset[[#This Row],[Age]]&lt;=30), "19-30",
    AND(Dataset[[#This Row],[Age]]&gt;30, Dataset[[#This Row],[Age]]&lt;=60), "31-60",
    Dataset[[#This Row],[Age]]&gt;60, "above 60"
)</f>
        <v>11-18</v>
      </c>
      <c r="D776">
        <v>0</v>
      </c>
      <c r="E776">
        <v>0</v>
      </c>
      <c r="F776">
        <v>0</v>
      </c>
      <c r="G77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76" s="1" t="s">
        <v>37</v>
      </c>
      <c r="I776" s="1" t="s">
        <v>15</v>
      </c>
      <c r="J776" s="1" t="s">
        <v>12</v>
      </c>
      <c r="K776">
        <v>0</v>
      </c>
    </row>
    <row r="777" spans="1:11" x14ac:dyDescent="0.3">
      <c r="A777" s="1" t="s">
        <v>13</v>
      </c>
      <c r="B777">
        <v>40</v>
      </c>
      <c r="C777" t="str" cm="1">
        <f t="array" ref="C777">_xlfn.IFS(
    Dataset[[#This Row],[Age]]&lt;=10, "0-10",
    AND(Dataset[[#This Row],[Age]]&gt;10, Dataset[[#This Row],[Age]]&lt;=18), "11-18",
    AND(Dataset[[#This Row],[Age]]&gt;18, Dataset[[#This Row],[Age]]&lt;=30), "19-30",
    AND(Dataset[[#This Row],[Age]]&gt;30, Dataset[[#This Row],[Age]]&lt;=60), "31-60",
    Dataset[[#This Row],[Age]]&gt;60, "above 60"
)</f>
        <v>31-60</v>
      </c>
      <c r="D777">
        <v>1</v>
      </c>
      <c r="E777">
        <v>1</v>
      </c>
      <c r="F777">
        <v>1</v>
      </c>
      <c r="G77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77" s="1" t="s">
        <v>46</v>
      </c>
      <c r="I777" s="1" t="s">
        <v>11</v>
      </c>
      <c r="J777" s="1" t="s">
        <v>12</v>
      </c>
      <c r="K777">
        <v>1</v>
      </c>
    </row>
    <row r="778" spans="1:11" x14ac:dyDescent="0.3">
      <c r="A778" s="1" t="s">
        <v>13</v>
      </c>
      <c r="B778">
        <v>50</v>
      </c>
      <c r="C778" t="str" cm="1">
        <f t="array" ref="C778">_xlfn.IFS(
    Dataset[[#This Row],[Age]]&lt;=10, "0-10",
    AND(Dataset[[#This Row],[Age]]&gt;10, Dataset[[#This Row],[Age]]&lt;=18), "11-18",
    AND(Dataset[[#This Row],[Age]]&gt;18, Dataset[[#This Row],[Age]]&lt;=30), "19-30",
    AND(Dataset[[#This Row],[Age]]&gt;30, Dataset[[#This Row],[Age]]&lt;=60), "31-60",
    Dataset[[#This Row],[Age]]&gt;60, "above 60"
)</f>
        <v>31-60</v>
      </c>
      <c r="D778">
        <v>1</v>
      </c>
      <c r="E778">
        <v>1</v>
      </c>
      <c r="F778">
        <v>1</v>
      </c>
      <c r="G77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78" s="1" t="s">
        <v>14</v>
      </c>
      <c r="I778" s="1" t="s">
        <v>15</v>
      </c>
      <c r="J778" s="1" t="s">
        <v>12</v>
      </c>
      <c r="K778">
        <v>1</v>
      </c>
    </row>
    <row r="779" spans="1:11" x14ac:dyDescent="0.3">
      <c r="A779" s="1" t="s">
        <v>13</v>
      </c>
      <c r="B779">
        <v>17</v>
      </c>
      <c r="C779" t="str" cm="1">
        <f t="array" ref="C779">_xlfn.IFS(
    Dataset[[#This Row],[Age]]&lt;=10, "0-10",
    AND(Dataset[[#This Row],[Age]]&gt;10, Dataset[[#This Row],[Age]]&lt;=18), "11-18",
    AND(Dataset[[#This Row],[Age]]&gt;18, Dataset[[#This Row],[Age]]&lt;=30), "19-30",
    AND(Dataset[[#This Row],[Age]]&gt;30, Dataset[[#This Row],[Age]]&lt;=60), "31-60",
    Dataset[[#This Row],[Age]]&gt;60, "above 60"
)</f>
        <v>11-18</v>
      </c>
      <c r="D779">
        <v>0</v>
      </c>
      <c r="E779">
        <v>0</v>
      </c>
      <c r="F779">
        <v>0</v>
      </c>
      <c r="G77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79" s="1" t="s">
        <v>36</v>
      </c>
      <c r="I779" s="1" t="s">
        <v>11</v>
      </c>
      <c r="J779" s="1" t="s">
        <v>17</v>
      </c>
      <c r="K779">
        <v>0</v>
      </c>
    </row>
    <row r="780" spans="1:11" x14ac:dyDescent="0.3">
      <c r="A780" s="1" t="s">
        <v>9</v>
      </c>
      <c r="B780">
        <v>31</v>
      </c>
      <c r="C780" t="str" cm="1">
        <f t="array" ref="C780">_xlfn.IFS(
    Dataset[[#This Row],[Age]]&lt;=10, "0-10",
    AND(Dataset[[#This Row],[Age]]&gt;10, Dataset[[#This Row],[Age]]&lt;=18), "11-18",
    AND(Dataset[[#This Row],[Age]]&gt;18, Dataset[[#This Row],[Age]]&lt;=30), "19-30",
    AND(Dataset[[#This Row],[Age]]&gt;30, Dataset[[#This Row],[Age]]&lt;=60), "31-60",
    Dataset[[#This Row],[Age]]&gt;60, "above 60"
)</f>
        <v>31-60</v>
      </c>
      <c r="D780">
        <v>1</v>
      </c>
      <c r="E780">
        <v>1</v>
      </c>
      <c r="F780">
        <v>1</v>
      </c>
      <c r="G78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80" s="1" t="s">
        <v>49</v>
      </c>
      <c r="I780" s="1" t="s">
        <v>15</v>
      </c>
      <c r="J780" s="1" t="s">
        <v>12</v>
      </c>
      <c r="K780">
        <v>1</v>
      </c>
    </row>
    <row r="781" spans="1:11" x14ac:dyDescent="0.3">
      <c r="A781" s="1" t="s">
        <v>9</v>
      </c>
      <c r="B781">
        <v>53</v>
      </c>
      <c r="C781" t="str" cm="1">
        <f t="array" ref="C781">_xlfn.IFS(
    Dataset[[#This Row],[Age]]&lt;=10, "0-10",
    AND(Dataset[[#This Row],[Age]]&gt;10, Dataset[[#This Row],[Age]]&lt;=18), "11-18",
    AND(Dataset[[#This Row],[Age]]&gt;18, Dataset[[#This Row],[Age]]&lt;=30), "19-30",
    AND(Dataset[[#This Row],[Age]]&gt;30, Dataset[[#This Row],[Age]]&lt;=60), "31-60",
    Dataset[[#This Row],[Age]]&gt;60, "above 60"
)</f>
        <v>31-60</v>
      </c>
      <c r="D781">
        <v>1</v>
      </c>
      <c r="E781">
        <v>1</v>
      </c>
      <c r="F781">
        <v>1</v>
      </c>
      <c r="G78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81" s="1" t="s">
        <v>18</v>
      </c>
      <c r="I781" s="1" t="s">
        <v>11</v>
      </c>
      <c r="J781" s="1" t="s">
        <v>12</v>
      </c>
      <c r="K781">
        <v>1</v>
      </c>
    </row>
    <row r="782" spans="1:11" x14ac:dyDescent="0.3">
      <c r="A782" s="1" t="s">
        <v>13</v>
      </c>
      <c r="B782">
        <v>29</v>
      </c>
      <c r="C782" t="str" cm="1">
        <f t="array" ref="C782">_xlfn.IFS(
    Dataset[[#This Row],[Age]]&lt;=10, "0-10",
    AND(Dataset[[#This Row],[Age]]&gt;10, Dataset[[#This Row],[Age]]&lt;=18), "11-18",
    AND(Dataset[[#This Row],[Age]]&gt;18, Dataset[[#This Row],[Age]]&lt;=30), "19-30",
    AND(Dataset[[#This Row],[Age]]&gt;30, Dataset[[#This Row],[Age]]&lt;=60), "31-60",
    Dataset[[#This Row],[Age]]&gt;60, "above 60"
)</f>
        <v>19-30</v>
      </c>
      <c r="D782">
        <v>0</v>
      </c>
      <c r="E782">
        <v>0</v>
      </c>
      <c r="F782">
        <v>1</v>
      </c>
      <c r="G78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82" s="1" t="s">
        <v>40</v>
      </c>
      <c r="I782" s="1" t="s">
        <v>15</v>
      </c>
      <c r="J782" s="1" t="s">
        <v>17</v>
      </c>
      <c r="K782">
        <v>0</v>
      </c>
    </row>
    <row r="783" spans="1:11" x14ac:dyDescent="0.3">
      <c r="A783" s="1" t="s">
        <v>9</v>
      </c>
      <c r="B783">
        <v>32</v>
      </c>
      <c r="C783" t="str" cm="1">
        <f t="array" ref="C783">_xlfn.IFS(
    Dataset[[#This Row],[Age]]&lt;=10, "0-10",
    AND(Dataset[[#This Row],[Age]]&gt;10, Dataset[[#This Row],[Age]]&lt;=18), "11-18",
    AND(Dataset[[#This Row],[Age]]&gt;18, Dataset[[#This Row],[Age]]&lt;=30), "19-30",
    AND(Dataset[[#This Row],[Age]]&gt;30, Dataset[[#This Row],[Age]]&lt;=60), "31-60",
    Dataset[[#This Row],[Age]]&gt;60, "above 60"
)</f>
        <v>31-60</v>
      </c>
      <c r="D783">
        <v>1</v>
      </c>
      <c r="E783">
        <v>1</v>
      </c>
      <c r="F783">
        <v>1</v>
      </c>
      <c r="G78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83" s="1" t="s">
        <v>26</v>
      </c>
      <c r="I783" s="1" t="s">
        <v>11</v>
      </c>
      <c r="J783" s="1" t="s">
        <v>22</v>
      </c>
      <c r="K783">
        <v>1</v>
      </c>
    </row>
    <row r="784" spans="1:11" x14ac:dyDescent="0.3">
      <c r="A784" s="1" t="s">
        <v>9</v>
      </c>
      <c r="B784">
        <v>45</v>
      </c>
      <c r="C784" t="str" cm="1">
        <f t="array" ref="C784">_xlfn.IFS(
    Dataset[[#This Row],[Age]]&lt;=10, "0-10",
    AND(Dataset[[#This Row],[Age]]&gt;10, Dataset[[#This Row],[Age]]&lt;=18), "11-18",
    AND(Dataset[[#This Row],[Age]]&gt;18, Dataset[[#This Row],[Age]]&lt;=30), "19-30",
    AND(Dataset[[#This Row],[Age]]&gt;30, Dataset[[#This Row],[Age]]&lt;=60), "31-60",
    Dataset[[#This Row],[Age]]&gt;60, "above 60"
)</f>
        <v>31-60</v>
      </c>
      <c r="D784">
        <v>0</v>
      </c>
      <c r="E784">
        <v>0</v>
      </c>
      <c r="F784">
        <v>0</v>
      </c>
      <c r="G78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84" s="1" t="s">
        <v>51</v>
      </c>
      <c r="I784" s="1" t="s">
        <v>15</v>
      </c>
      <c r="J784" s="1" t="s">
        <v>17</v>
      </c>
      <c r="K784">
        <v>0</v>
      </c>
    </row>
    <row r="785" spans="1:11" x14ac:dyDescent="0.3">
      <c r="A785" s="1" t="s">
        <v>13</v>
      </c>
      <c r="B785">
        <v>63</v>
      </c>
      <c r="C785" t="str" cm="1">
        <f t="array" ref="C785">_xlfn.IFS(
    Dataset[[#This Row],[Age]]&lt;=10, "0-10",
    AND(Dataset[[#This Row],[Age]]&gt;10, Dataset[[#This Row],[Age]]&lt;=18), "11-18",
    AND(Dataset[[#This Row],[Age]]&gt;18, Dataset[[#This Row],[Age]]&lt;=30), "19-30",
    AND(Dataset[[#This Row],[Age]]&gt;30, Dataset[[#This Row],[Age]]&lt;=60), "31-60",
    Dataset[[#This Row],[Age]]&gt;60, "above 60"
)</f>
        <v>above 60</v>
      </c>
      <c r="D785">
        <v>0</v>
      </c>
      <c r="E785">
        <v>0</v>
      </c>
      <c r="F785">
        <v>1</v>
      </c>
      <c r="G78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85" s="1" t="s">
        <v>30</v>
      </c>
      <c r="I785" s="1" t="s">
        <v>11</v>
      </c>
      <c r="J785" s="1" t="s">
        <v>22</v>
      </c>
      <c r="K785">
        <v>0</v>
      </c>
    </row>
    <row r="786" spans="1:11" x14ac:dyDescent="0.3">
      <c r="A786" s="1" t="s">
        <v>13</v>
      </c>
      <c r="B786">
        <v>22</v>
      </c>
      <c r="C786" t="str" cm="1">
        <f t="array" ref="C786">_xlfn.IFS(
    Dataset[[#This Row],[Age]]&lt;=10, "0-10",
    AND(Dataset[[#This Row],[Age]]&gt;10, Dataset[[#This Row],[Age]]&lt;=18), "11-18",
    AND(Dataset[[#This Row],[Age]]&gt;18, Dataset[[#This Row],[Age]]&lt;=30), "19-30",
    AND(Dataset[[#This Row],[Age]]&gt;30, Dataset[[#This Row],[Age]]&lt;=60), "31-60",
    Dataset[[#This Row],[Age]]&gt;60, "above 60"
)</f>
        <v>19-30</v>
      </c>
      <c r="D786">
        <v>1</v>
      </c>
      <c r="E786">
        <v>1</v>
      </c>
      <c r="F786">
        <v>1</v>
      </c>
      <c r="G78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86" s="1" t="s">
        <v>45</v>
      </c>
      <c r="I786" s="1" t="s">
        <v>15</v>
      </c>
      <c r="J786" s="1" t="s">
        <v>17</v>
      </c>
      <c r="K786">
        <v>1</v>
      </c>
    </row>
    <row r="787" spans="1:11" x14ac:dyDescent="0.3">
      <c r="A787" s="1" t="s">
        <v>13</v>
      </c>
      <c r="B787">
        <v>46</v>
      </c>
      <c r="C787" t="str" cm="1">
        <f t="array" ref="C787">_xlfn.IFS(
    Dataset[[#This Row],[Age]]&lt;=10, "0-10",
    AND(Dataset[[#This Row],[Age]]&gt;10, Dataset[[#This Row],[Age]]&lt;=18), "11-18",
    AND(Dataset[[#This Row],[Age]]&gt;18, Dataset[[#This Row],[Age]]&lt;=30), "19-30",
    AND(Dataset[[#This Row],[Age]]&gt;30, Dataset[[#This Row],[Age]]&lt;=60), "31-60",
    Dataset[[#This Row],[Age]]&gt;60, "above 60"
)</f>
        <v>31-60</v>
      </c>
      <c r="D787">
        <v>0</v>
      </c>
      <c r="E787">
        <v>0</v>
      </c>
      <c r="F787">
        <v>0</v>
      </c>
      <c r="G78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87" s="1" t="s">
        <v>16</v>
      </c>
      <c r="I787" s="1" t="s">
        <v>11</v>
      </c>
      <c r="J787" s="1" t="s">
        <v>22</v>
      </c>
      <c r="K787">
        <v>0</v>
      </c>
    </row>
    <row r="788" spans="1:11" x14ac:dyDescent="0.3">
      <c r="A788" s="1" t="s">
        <v>13</v>
      </c>
      <c r="B788">
        <v>31</v>
      </c>
      <c r="C788" t="str" cm="1">
        <f t="array" ref="C788">_xlfn.IFS(
    Dataset[[#This Row],[Age]]&lt;=10, "0-10",
    AND(Dataset[[#This Row],[Age]]&gt;10, Dataset[[#This Row],[Age]]&lt;=18), "11-18",
    AND(Dataset[[#This Row],[Age]]&gt;18, Dataset[[#This Row],[Age]]&lt;=30), "19-30",
    AND(Dataset[[#This Row],[Age]]&gt;30, Dataset[[#This Row],[Age]]&lt;=60), "31-60",
    Dataset[[#This Row],[Age]]&gt;60, "above 60"
)</f>
        <v>31-60</v>
      </c>
      <c r="D788">
        <v>1</v>
      </c>
      <c r="E788">
        <v>1</v>
      </c>
      <c r="F788">
        <v>0</v>
      </c>
      <c r="G78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88" s="1" t="s">
        <v>28</v>
      </c>
      <c r="I788" s="1" t="s">
        <v>15</v>
      </c>
      <c r="J788" s="1" t="s">
        <v>17</v>
      </c>
      <c r="K788">
        <v>1</v>
      </c>
    </row>
    <row r="789" spans="1:11" x14ac:dyDescent="0.3">
      <c r="A789" s="1" t="s">
        <v>13</v>
      </c>
      <c r="B789">
        <v>42</v>
      </c>
      <c r="C789" t="str" cm="1">
        <f t="array" ref="C789">_xlfn.IFS(
    Dataset[[#This Row],[Age]]&lt;=10, "0-10",
    AND(Dataset[[#This Row],[Age]]&gt;10, Dataset[[#This Row],[Age]]&lt;=18), "11-18",
    AND(Dataset[[#This Row],[Age]]&gt;18, Dataset[[#This Row],[Age]]&lt;=30), "19-30",
    AND(Dataset[[#This Row],[Age]]&gt;30, Dataset[[#This Row],[Age]]&lt;=60), "31-60",
    Dataset[[#This Row],[Age]]&gt;60, "above 60"
)</f>
        <v>31-60</v>
      </c>
      <c r="D789">
        <v>1</v>
      </c>
      <c r="E789">
        <v>1</v>
      </c>
      <c r="F789">
        <v>1</v>
      </c>
      <c r="G78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89" s="1" t="s">
        <v>50</v>
      </c>
      <c r="I789" s="1" t="s">
        <v>11</v>
      </c>
      <c r="J789" s="1" t="s">
        <v>22</v>
      </c>
      <c r="K789">
        <v>1</v>
      </c>
    </row>
    <row r="790" spans="1:11" x14ac:dyDescent="0.3">
      <c r="A790" s="1" t="s">
        <v>13</v>
      </c>
      <c r="B790">
        <v>54</v>
      </c>
      <c r="C790" t="str" cm="1">
        <f t="array" ref="C790">_xlfn.IFS(
    Dataset[[#This Row],[Age]]&lt;=10, "0-10",
    AND(Dataset[[#This Row],[Age]]&gt;10, Dataset[[#This Row],[Age]]&lt;=18), "11-18",
    AND(Dataset[[#This Row],[Age]]&gt;18, Dataset[[#This Row],[Age]]&lt;=30), "19-30",
    AND(Dataset[[#This Row],[Age]]&gt;30, Dataset[[#This Row],[Age]]&lt;=60), "31-60",
    Dataset[[#This Row],[Age]]&gt;60, "above 60"
)</f>
        <v>31-60</v>
      </c>
      <c r="D790">
        <v>0</v>
      </c>
      <c r="E790">
        <v>0</v>
      </c>
      <c r="F790">
        <v>0</v>
      </c>
      <c r="G79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90" s="1" t="s">
        <v>33</v>
      </c>
      <c r="I790" s="1" t="s">
        <v>15</v>
      </c>
      <c r="J790" s="1" t="s">
        <v>17</v>
      </c>
      <c r="K790">
        <v>0</v>
      </c>
    </row>
    <row r="791" spans="1:11" x14ac:dyDescent="0.3">
      <c r="A791" s="1" t="s">
        <v>9</v>
      </c>
      <c r="B791">
        <v>27</v>
      </c>
      <c r="C791" t="str" cm="1">
        <f t="array" ref="C791">_xlfn.IFS(
    Dataset[[#This Row],[Age]]&lt;=10, "0-10",
    AND(Dataset[[#This Row],[Age]]&gt;10, Dataset[[#This Row],[Age]]&lt;=18), "11-18",
    AND(Dataset[[#This Row],[Age]]&gt;18, Dataset[[#This Row],[Age]]&lt;=30), "19-30",
    AND(Dataset[[#This Row],[Age]]&gt;30, Dataset[[#This Row],[Age]]&lt;=60), "31-60",
    Dataset[[#This Row],[Age]]&gt;60, "above 60"
)</f>
        <v>19-30</v>
      </c>
      <c r="D791">
        <v>0</v>
      </c>
      <c r="E791">
        <v>0</v>
      </c>
      <c r="F791">
        <v>1</v>
      </c>
      <c r="G79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91" s="1" t="s">
        <v>35</v>
      </c>
      <c r="I791" s="1" t="s">
        <v>11</v>
      </c>
      <c r="J791" s="1" t="s">
        <v>17</v>
      </c>
      <c r="K791">
        <v>0</v>
      </c>
    </row>
    <row r="792" spans="1:11" x14ac:dyDescent="0.3">
      <c r="A792" s="1" t="s">
        <v>13</v>
      </c>
      <c r="B792">
        <v>57</v>
      </c>
      <c r="C792" t="str" cm="1">
        <f t="array" ref="C792">_xlfn.IFS(
    Dataset[[#This Row],[Age]]&lt;=10, "0-10",
    AND(Dataset[[#This Row],[Age]]&gt;10, Dataset[[#This Row],[Age]]&lt;=18), "11-18",
    AND(Dataset[[#This Row],[Age]]&gt;18, Dataset[[#This Row],[Age]]&lt;=30), "19-30",
    AND(Dataset[[#This Row],[Age]]&gt;30, Dataset[[#This Row],[Age]]&lt;=60), "31-60",
    Dataset[[#This Row],[Age]]&gt;60, "above 60"
)</f>
        <v>31-60</v>
      </c>
      <c r="D792">
        <v>1</v>
      </c>
      <c r="E792">
        <v>1</v>
      </c>
      <c r="F792">
        <v>1</v>
      </c>
      <c r="G79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92" s="1" t="s">
        <v>21</v>
      </c>
      <c r="I792" s="1" t="s">
        <v>15</v>
      </c>
      <c r="J792" s="1" t="s">
        <v>17</v>
      </c>
      <c r="K792">
        <v>1</v>
      </c>
    </row>
    <row r="793" spans="1:11" x14ac:dyDescent="0.3">
      <c r="A793" s="1" t="s">
        <v>13</v>
      </c>
      <c r="B793">
        <v>46</v>
      </c>
      <c r="C793" t="str" cm="1">
        <f t="array" ref="C793">_xlfn.IFS(
    Dataset[[#This Row],[Age]]&lt;=10, "0-10",
    AND(Dataset[[#This Row],[Age]]&gt;10, Dataset[[#This Row],[Age]]&lt;=18), "11-18",
    AND(Dataset[[#This Row],[Age]]&gt;18, Dataset[[#This Row],[Age]]&lt;=30), "19-30",
    AND(Dataset[[#This Row],[Age]]&gt;30, Dataset[[#This Row],[Age]]&lt;=60), "31-60",
    Dataset[[#This Row],[Age]]&gt;60, "above 60"
)</f>
        <v>31-60</v>
      </c>
      <c r="D793">
        <v>1</v>
      </c>
      <c r="E793">
        <v>1</v>
      </c>
      <c r="F793">
        <v>1</v>
      </c>
      <c r="G79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93" s="1" t="s">
        <v>31</v>
      </c>
      <c r="I793" s="1" t="s">
        <v>11</v>
      </c>
      <c r="J793" s="1" t="s">
        <v>22</v>
      </c>
      <c r="K793">
        <v>1</v>
      </c>
    </row>
    <row r="794" spans="1:11" x14ac:dyDescent="0.3">
      <c r="A794" s="1" t="s">
        <v>13</v>
      </c>
      <c r="B794">
        <v>29</v>
      </c>
      <c r="C794" t="str" cm="1">
        <f t="array" ref="C794">_xlfn.IFS(
    Dataset[[#This Row],[Age]]&lt;=10, "0-10",
    AND(Dataset[[#This Row],[Age]]&gt;10, Dataset[[#This Row],[Age]]&lt;=18), "11-18",
    AND(Dataset[[#This Row],[Age]]&gt;18, Dataset[[#This Row],[Age]]&lt;=30), "19-30",
    AND(Dataset[[#This Row],[Age]]&gt;30, Dataset[[#This Row],[Age]]&lt;=60), "31-60",
    Dataset[[#This Row],[Age]]&gt;60, "above 60"
)</f>
        <v>19-30</v>
      </c>
      <c r="D794">
        <v>0</v>
      </c>
      <c r="E794">
        <v>0</v>
      </c>
      <c r="F794">
        <v>1</v>
      </c>
      <c r="G79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94" s="1" t="s">
        <v>49</v>
      </c>
      <c r="I794" s="1" t="s">
        <v>15</v>
      </c>
      <c r="J794" s="1" t="s">
        <v>12</v>
      </c>
      <c r="K794">
        <v>0</v>
      </c>
    </row>
    <row r="795" spans="1:11" x14ac:dyDescent="0.3">
      <c r="A795" s="1" t="s">
        <v>13</v>
      </c>
      <c r="B795">
        <v>34</v>
      </c>
      <c r="C795" t="str" cm="1">
        <f t="array" ref="C795">_xlfn.IFS(
    Dataset[[#This Row],[Age]]&lt;=10, "0-10",
    AND(Dataset[[#This Row],[Age]]&gt;10, Dataset[[#This Row],[Age]]&lt;=18), "11-18",
    AND(Dataset[[#This Row],[Age]]&gt;18, Dataset[[#This Row],[Age]]&lt;=30), "19-30",
    AND(Dataset[[#This Row],[Age]]&gt;30, Dataset[[#This Row],[Age]]&lt;=60), "31-60",
    Dataset[[#This Row],[Age]]&gt;60, "above 60"
)</f>
        <v>31-60</v>
      </c>
      <c r="D795">
        <v>1</v>
      </c>
      <c r="E795">
        <v>1</v>
      </c>
      <c r="F795">
        <v>0</v>
      </c>
      <c r="G79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95" s="1" t="s">
        <v>24</v>
      </c>
      <c r="I795" s="1" t="s">
        <v>11</v>
      </c>
      <c r="J795" s="1" t="s">
        <v>17</v>
      </c>
      <c r="K795">
        <v>1</v>
      </c>
    </row>
    <row r="796" spans="1:11" x14ac:dyDescent="0.3">
      <c r="A796" s="1" t="s">
        <v>9</v>
      </c>
      <c r="B796">
        <v>41</v>
      </c>
      <c r="C796" t="str" cm="1">
        <f t="array" ref="C796">_xlfn.IFS(
    Dataset[[#This Row],[Age]]&lt;=10, "0-10",
    AND(Dataset[[#This Row],[Age]]&gt;10, Dataset[[#This Row],[Age]]&lt;=18), "11-18",
    AND(Dataset[[#This Row],[Age]]&gt;18, Dataset[[#This Row],[Age]]&lt;=30), "19-30",
    AND(Dataset[[#This Row],[Age]]&gt;30, Dataset[[#This Row],[Age]]&lt;=60), "31-60",
    Dataset[[#This Row],[Age]]&gt;60, "above 60"
)</f>
        <v>31-60</v>
      </c>
      <c r="D796">
        <v>1</v>
      </c>
      <c r="E796">
        <v>1</v>
      </c>
      <c r="F796">
        <v>1</v>
      </c>
      <c r="G79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96" s="1" t="s">
        <v>35</v>
      </c>
      <c r="I796" s="1" t="s">
        <v>15</v>
      </c>
      <c r="J796" s="1" t="s">
        <v>17</v>
      </c>
      <c r="K796">
        <v>1</v>
      </c>
    </row>
    <row r="797" spans="1:11" x14ac:dyDescent="0.3">
      <c r="A797" s="1" t="s">
        <v>9</v>
      </c>
      <c r="B797">
        <v>10</v>
      </c>
      <c r="C797" t="str" cm="1">
        <f t="array" ref="C797">_xlfn.IFS(
    Dataset[[#This Row],[Age]]&lt;=10, "0-10",
    AND(Dataset[[#This Row],[Age]]&gt;10, Dataset[[#This Row],[Age]]&lt;=18), "11-18",
    AND(Dataset[[#This Row],[Age]]&gt;18, Dataset[[#This Row],[Age]]&lt;=30), "19-30",
    AND(Dataset[[#This Row],[Age]]&gt;30, Dataset[[#This Row],[Age]]&lt;=60), "31-60",
    Dataset[[#This Row],[Age]]&gt;60, "above 60"
)</f>
        <v>0-10</v>
      </c>
      <c r="D797">
        <v>0</v>
      </c>
      <c r="E797">
        <v>0</v>
      </c>
      <c r="F797">
        <v>1</v>
      </c>
      <c r="G79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797" s="1" t="s">
        <v>21</v>
      </c>
      <c r="I797" s="1" t="s">
        <v>11</v>
      </c>
      <c r="J797" s="1" t="s">
        <v>12</v>
      </c>
      <c r="K797">
        <v>0</v>
      </c>
    </row>
    <row r="798" spans="1:11" x14ac:dyDescent="0.3">
      <c r="A798" s="1" t="s">
        <v>9</v>
      </c>
      <c r="B798">
        <v>27</v>
      </c>
      <c r="C798" t="str" cm="1">
        <f t="array" ref="C798">_xlfn.IFS(
    Dataset[[#This Row],[Age]]&lt;=10, "0-10",
    AND(Dataset[[#This Row],[Age]]&gt;10, Dataset[[#This Row],[Age]]&lt;=18), "11-18",
    AND(Dataset[[#This Row],[Age]]&gt;18, Dataset[[#This Row],[Age]]&lt;=30), "19-30",
    AND(Dataset[[#This Row],[Age]]&gt;30, Dataset[[#This Row],[Age]]&lt;=60), "31-60",
    Dataset[[#This Row],[Age]]&gt;60, "above 60"
)</f>
        <v>19-30</v>
      </c>
      <c r="D798">
        <v>1</v>
      </c>
      <c r="E798">
        <v>1</v>
      </c>
      <c r="F798">
        <v>0</v>
      </c>
      <c r="G79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98" s="1" t="s">
        <v>18</v>
      </c>
      <c r="I798" s="1" t="s">
        <v>15</v>
      </c>
      <c r="J798" s="1" t="s">
        <v>12</v>
      </c>
      <c r="K798">
        <v>1</v>
      </c>
    </row>
    <row r="799" spans="1:11" x14ac:dyDescent="0.3">
      <c r="A799" s="1" t="s">
        <v>9</v>
      </c>
      <c r="B799">
        <v>26</v>
      </c>
      <c r="C799" t="str" cm="1">
        <f t="array" ref="C799">_xlfn.IFS(
    Dataset[[#This Row],[Age]]&lt;=10, "0-10",
    AND(Dataset[[#This Row],[Age]]&gt;10, Dataset[[#This Row],[Age]]&lt;=18), "11-18",
    AND(Dataset[[#This Row],[Age]]&gt;18, Dataset[[#This Row],[Age]]&lt;=30), "19-30",
    AND(Dataset[[#This Row],[Age]]&gt;30, Dataset[[#This Row],[Age]]&lt;=60), "31-60",
    Dataset[[#This Row],[Age]]&gt;60, "above 60"
)</f>
        <v>19-30</v>
      </c>
      <c r="D799">
        <v>1</v>
      </c>
      <c r="E799">
        <v>1</v>
      </c>
      <c r="F799">
        <v>1</v>
      </c>
      <c r="G79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799" s="1" t="s">
        <v>37</v>
      </c>
      <c r="I799" s="1" t="s">
        <v>11</v>
      </c>
      <c r="J799" s="1" t="s">
        <v>22</v>
      </c>
      <c r="K799">
        <v>1</v>
      </c>
    </row>
    <row r="800" spans="1:11" x14ac:dyDescent="0.3">
      <c r="A800" s="1" t="s">
        <v>9</v>
      </c>
      <c r="B800">
        <v>62</v>
      </c>
      <c r="C800" t="str" cm="1">
        <f t="array" ref="C800">_xlfn.IFS(
    Dataset[[#This Row],[Age]]&lt;=10, "0-10",
    AND(Dataset[[#This Row],[Age]]&gt;10, Dataset[[#This Row],[Age]]&lt;=18), "11-18",
    AND(Dataset[[#This Row],[Age]]&gt;18, Dataset[[#This Row],[Age]]&lt;=30), "19-30",
    AND(Dataset[[#This Row],[Age]]&gt;30, Dataset[[#This Row],[Age]]&lt;=60), "31-60",
    Dataset[[#This Row],[Age]]&gt;60, "above 60"
)</f>
        <v>above 60</v>
      </c>
      <c r="D800">
        <v>1</v>
      </c>
      <c r="E800">
        <v>1</v>
      </c>
      <c r="F800">
        <v>1</v>
      </c>
      <c r="G80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00" s="1" t="s">
        <v>31</v>
      </c>
      <c r="I800" s="1" t="s">
        <v>15</v>
      </c>
      <c r="J800" s="1" t="s">
        <v>17</v>
      </c>
      <c r="K800">
        <v>1</v>
      </c>
    </row>
    <row r="801" spans="1:11" x14ac:dyDescent="0.3">
      <c r="A801" s="1" t="s">
        <v>13</v>
      </c>
      <c r="B801">
        <v>28</v>
      </c>
      <c r="C801" t="str" cm="1">
        <f t="array" ref="C801">_xlfn.IFS(
    Dataset[[#This Row],[Age]]&lt;=10, "0-10",
    AND(Dataset[[#This Row],[Age]]&gt;10, Dataset[[#This Row],[Age]]&lt;=18), "11-18",
    AND(Dataset[[#This Row],[Age]]&gt;18, Dataset[[#This Row],[Age]]&lt;=30), "19-30",
    AND(Dataset[[#This Row],[Age]]&gt;30, Dataset[[#This Row],[Age]]&lt;=60), "31-60",
    Dataset[[#This Row],[Age]]&gt;60, "above 60"
)</f>
        <v>19-30</v>
      </c>
      <c r="D801">
        <v>1</v>
      </c>
      <c r="E801">
        <v>1</v>
      </c>
      <c r="F801">
        <v>1</v>
      </c>
      <c r="G80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01" s="1" t="s">
        <v>25</v>
      </c>
      <c r="I801" s="1" t="s">
        <v>11</v>
      </c>
      <c r="J801" s="1" t="s">
        <v>17</v>
      </c>
      <c r="K801">
        <v>1</v>
      </c>
    </row>
    <row r="802" spans="1:11" x14ac:dyDescent="0.3">
      <c r="A802" s="1" t="s">
        <v>13</v>
      </c>
      <c r="B802">
        <v>44</v>
      </c>
      <c r="C802" t="str" cm="1">
        <f t="array" ref="C802">_xlfn.IFS(
    Dataset[[#This Row],[Age]]&lt;=10, "0-10",
    AND(Dataset[[#This Row],[Age]]&gt;10, Dataset[[#This Row],[Age]]&lt;=18), "11-18",
    AND(Dataset[[#This Row],[Age]]&gt;18, Dataset[[#This Row],[Age]]&lt;=30), "19-30",
    AND(Dataset[[#This Row],[Age]]&gt;30, Dataset[[#This Row],[Age]]&lt;=60), "31-60",
    Dataset[[#This Row],[Age]]&gt;60, "above 60"
)</f>
        <v>31-60</v>
      </c>
      <c r="D802">
        <v>1</v>
      </c>
      <c r="E802">
        <v>1</v>
      </c>
      <c r="F802">
        <v>0</v>
      </c>
      <c r="G80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02" s="1" t="s">
        <v>47</v>
      </c>
      <c r="I802" s="1" t="s">
        <v>15</v>
      </c>
      <c r="J802" s="1" t="s">
        <v>17</v>
      </c>
      <c r="K802">
        <v>1</v>
      </c>
    </row>
    <row r="803" spans="1:11" x14ac:dyDescent="0.3">
      <c r="A803" s="1" t="s">
        <v>13</v>
      </c>
      <c r="B803">
        <v>39</v>
      </c>
      <c r="C803" t="str" cm="1">
        <f t="array" ref="C803">_xlfn.IFS(
    Dataset[[#This Row],[Age]]&lt;=10, "0-10",
    AND(Dataset[[#This Row],[Age]]&gt;10, Dataset[[#This Row],[Age]]&lt;=18), "11-18",
    AND(Dataset[[#This Row],[Age]]&gt;18, Dataset[[#This Row],[Age]]&lt;=30), "19-30",
    AND(Dataset[[#This Row],[Age]]&gt;30, Dataset[[#This Row],[Age]]&lt;=60), "31-60",
    Dataset[[#This Row],[Age]]&gt;60, "above 60"
)</f>
        <v>31-60</v>
      </c>
      <c r="D803">
        <v>1</v>
      </c>
      <c r="E803">
        <v>1</v>
      </c>
      <c r="F803">
        <v>1</v>
      </c>
      <c r="G80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03" s="1" t="s">
        <v>30</v>
      </c>
      <c r="I803" s="1" t="s">
        <v>11</v>
      </c>
      <c r="J803" s="1" t="s">
        <v>12</v>
      </c>
      <c r="K803">
        <v>1</v>
      </c>
    </row>
    <row r="804" spans="1:11" x14ac:dyDescent="0.3">
      <c r="A804" s="1" t="s">
        <v>9</v>
      </c>
      <c r="B804">
        <v>11</v>
      </c>
      <c r="C804" t="str" cm="1">
        <f t="array" ref="C804">_xlfn.IFS(
    Dataset[[#This Row],[Age]]&lt;=10, "0-10",
    AND(Dataset[[#This Row],[Age]]&gt;10, Dataset[[#This Row],[Age]]&lt;=18), "11-18",
    AND(Dataset[[#This Row],[Age]]&gt;18, Dataset[[#This Row],[Age]]&lt;=30), "19-30",
    AND(Dataset[[#This Row],[Age]]&gt;30, Dataset[[#This Row],[Age]]&lt;=60), "31-60",
    Dataset[[#This Row],[Age]]&gt;60, "above 60"
)</f>
        <v>11-18</v>
      </c>
      <c r="D804">
        <v>0</v>
      </c>
      <c r="E804">
        <v>0</v>
      </c>
      <c r="F804">
        <v>1</v>
      </c>
      <c r="G80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04" s="1" t="s">
        <v>48</v>
      </c>
      <c r="I804" s="1" t="s">
        <v>15</v>
      </c>
      <c r="J804" s="1" t="s">
        <v>22</v>
      </c>
      <c r="K804">
        <v>0</v>
      </c>
    </row>
    <row r="805" spans="1:11" x14ac:dyDescent="0.3">
      <c r="A805" s="1" t="s">
        <v>9</v>
      </c>
      <c r="B805">
        <v>51</v>
      </c>
      <c r="C805" t="str" cm="1">
        <f t="array" ref="C805">_xlfn.IFS(
    Dataset[[#This Row],[Age]]&lt;=10, "0-10",
    AND(Dataset[[#This Row],[Age]]&gt;10, Dataset[[#This Row],[Age]]&lt;=18), "11-18",
    AND(Dataset[[#This Row],[Age]]&gt;18, Dataset[[#This Row],[Age]]&lt;=30), "19-30",
    AND(Dataset[[#This Row],[Age]]&gt;30, Dataset[[#This Row],[Age]]&lt;=60), "31-60",
    Dataset[[#This Row],[Age]]&gt;60, "above 60"
)</f>
        <v>31-60</v>
      </c>
      <c r="D805">
        <v>0</v>
      </c>
      <c r="E805">
        <v>0</v>
      </c>
      <c r="F805">
        <v>1</v>
      </c>
      <c r="G80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05" s="1" t="s">
        <v>46</v>
      </c>
      <c r="I805" s="1" t="s">
        <v>11</v>
      </c>
      <c r="J805" s="1" t="s">
        <v>17</v>
      </c>
      <c r="K805">
        <v>0</v>
      </c>
    </row>
    <row r="806" spans="1:11" x14ac:dyDescent="0.3">
      <c r="A806" s="1" t="s">
        <v>9</v>
      </c>
      <c r="B806">
        <v>34</v>
      </c>
      <c r="C806" t="str" cm="1">
        <f t="array" ref="C806">_xlfn.IFS(
    Dataset[[#This Row],[Age]]&lt;=10, "0-10",
    AND(Dataset[[#This Row],[Age]]&gt;10, Dataset[[#This Row],[Age]]&lt;=18), "11-18",
    AND(Dataset[[#This Row],[Age]]&gt;18, Dataset[[#This Row],[Age]]&lt;=30), "19-30",
    AND(Dataset[[#This Row],[Age]]&gt;30, Dataset[[#This Row],[Age]]&lt;=60), "31-60",
    Dataset[[#This Row],[Age]]&gt;60, "above 60"
)</f>
        <v>31-60</v>
      </c>
      <c r="D806">
        <v>1</v>
      </c>
      <c r="E806">
        <v>1</v>
      </c>
      <c r="F806">
        <v>0</v>
      </c>
      <c r="G80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06" s="1" t="s">
        <v>20</v>
      </c>
      <c r="I806" s="1" t="s">
        <v>15</v>
      </c>
      <c r="J806" s="1" t="s">
        <v>22</v>
      </c>
      <c r="K806">
        <v>1</v>
      </c>
    </row>
    <row r="807" spans="1:11" x14ac:dyDescent="0.3">
      <c r="A807" s="1" t="s">
        <v>9</v>
      </c>
      <c r="B807">
        <v>17</v>
      </c>
      <c r="C807" t="str" cm="1">
        <f t="array" ref="C807">_xlfn.IFS(
    Dataset[[#This Row],[Age]]&lt;=10, "0-10",
    AND(Dataset[[#This Row],[Age]]&gt;10, Dataset[[#This Row],[Age]]&lt;=18), "11-18",
    AND(Dataset[[#This Row],[Age]]&gt;18, Dataset[[#This Row],[Age]]&lt;=30), "19-30",
    AND(Dataset[[#This Row],[Age]]&gt;30, Dataset[[#This Row],[Age]]&lt;=60), "31-60",
    Dataset[[#This Row],[Age]]&gt;60, "above 60"
)</f>
        <v>11-18</v>
      </c>
      <c r="D807">
        <v>0</v>
      </c>
      <c r="E807">
        <v>0</v>
      </c>
      <c r="F807">
        <v>0</v>
      </c>
      <c r="G80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07" s="1" t="s">
        <v>43</v>
      </c>
      <c r="I807" s="1" t="s">
        <v>11</v>
      </c>
      <c r="J807" s="1" t="s">
        <v>12</v>
      </c>
      <c r="K807">
        <v>0</v>
      </c>
    </row>
    <row r="808" spans="1:11" x14ac:dyDescent="0.3">
      <c r="A808" s="1" t="s">
        <v>9</v>
      </c>
      <c r="B808">
        <v>12</v>
      </c>
      <c r="C808" t="str" cm="1">
        <f t="array" ref="C808">_xlfn.IFS(
    Dataset[[#This Row],[Age]]&lt;=10, "0-10",
    AND(Dataset[[#This Row],[Age]]&gt;10, Dataset[[#This Row],[Age]]&lt;=18), "11-18",
    AND(Dataset[[#This Row],[Age]]&gt;18, Dataset[[#This Row],[Age]]&lt;=30), "19-30",
    AND(Dataset[[#This Row],[Age]]&gt;30, Dataset[[#This Row],[Age]]&lt;=60), "31-60",
    Dataset[[#This Row],[Age]]&gt;60, "above 60"
)</f>
        <v>11-18</v>
      </c>
      <c r="D808">
        <v>1</v>
      </c>
      <c r="E808">
        <v>1</v>
      </c>
      <c r="F808">
        <v>0</v>
      </c>
      <c r="G80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08" s="1" t="s">
        <v>50</v>
      </c>
      <c r="I808" s="1" t="s">
        <v>15</v>
      </c>
      <c r="J808" s="1" t="s">
        <v>17</v>
      </c>
      <c r="K808">
        <v>1</v>
      </c>
    </row>
    <row r="809" spans="1:11" x14ac:dyDescent="0.3">
      <c r="A809" s="1" t="s">
        <v>13</v>
      </c>
      <c r="B809">
        <v>51</v>
      </c>
      <c r="C809" t="str" cm="1">
        <f t="array" ref="C809">_xlfn.IFS(
    Dataset[[#This Row],[Age]]&lt;=10, "0-10",
    AND(Dataset[[#This Row],[Age]]&gt;10, Dataset[[#This Row],[Age]]&lt;=18), "11-18",
    AND(Dataset[[#This Row],[Age]]&gt;18, Dataset[[#This Row],[Age]]&lt;=30), "19-30",
    AND(Dataset[[#This Row],[Age]]&gt;30, Dataset[[#This Row],[Age]]&lt;=60), "31-60",
    Dataset[[#This Row],[Age]]&gt;60, "above 60"
)</f>
        <v>31-60</v>
      </c>
      <c r="D809">
        <v>0</v>
      </c>
      <c r="E809">
        <v>0</v>
      </c>
      <c r="F809">
        <v>1</v>
      </c>
      <c r="G80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09" s="1" t="s">
        <v>49</v>
      </c>
      <c r="I809" s="1" t="s">
        <v>11</v>
      </c>
      <c r="J809" s="1" t="s">
        <v>17</v>
      </c>
      <c r="K809">
        <v>0</v>
      </c>
    </row>
    <row r="810" spans="1:11" x14ac:dyDescent="0.3">
      <c r="A810" s="1" t="s">
        <v>9</v>
      </c>
      <c r="B810">
        <v>49</v>
      </c>
      <c r="C810" t="str" cm="1">
        <f t="array" ref="C810">_xlfn.IFS(
    Dataset[[#This Row],[Age]]&lt;=10, "0-10",
    AND(Dataset[[#This Row],[Age]]&gt;10, Dataset[[#This Row],[Age]]&lt;=18), "11-18",
    AND(Dataset[[#This Row],[Age]]&gt;18, Dataset[[#This Row],[Age]]&lt;=30), "19-30",
    AND(Dataset[[#This Row],[Age]]&gt;30, Dataset[[#This Row],[Age]]&lt;=60), "31-60",
    Dataset[[#This Row],[Age]]&gt;60, "above 60"
)</f>
        <v>31-60</v>
      </c>
      <c r="D810">
        <v>0</v>
      </c>
      <c r="E810">
        <v>0</v>
      </c>
      <c r="F810">
        <v>1</v>
      </c>
      <c r="G81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10" s="1" t="s">
        <v>28</v>
      </c>
      <c r="I810" s="1" t="s">
        <v>15</v>
      </c>
      <c r="J810" s="1" t="s">
        <v>22</v>
      </c>
      <c r="K810">
        <v>0</v>
      </c>
    </row>
    <row r="811" spans="1:11" x14ac:dyDescent="0.3">
      <c r="A811" s="1" t="s">
        <v>13</v>
      </c>
      <c r="B811">
        <v>40</v>
      </c>
      <c r="C811" t="str" cm="1">
        <f t="array" ref="C811">_xlfn.IFS(
    Dataset[[#This Row],[Age]]&lt;=10, "0-10",
    AND(Dataset[[#This Row],[Age]]&gt;10, Dataset[[#This Row],[Age]]&lt;=18), "11-18",
    AND(Dataset[[#This Row],[Age]]&gt;18, Dataset[[#This Row],[Age]]&lt;=30), "19-30",
    AND(Dataset[[#This Row],[Age]]&gt;30, Dataset[[#This Row],[Age]]&lt;=60), "31-60",
    Dataset[[#This Row],[Age]]&gt;60, "above 60"
)</f>
        <v>31-60</v>
      </c>
      <c r="D811">
        <v>1</v>
      </c>
      <c r="E811">
        <v>1</v>
      </c>
      <c r="F811">
        <v>0</v>
      </c>
      <c r="G81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11" s="1" t="s">
        <v>46</v>
      </c>
      <c r="I811" s="1" t="s">
        <v>11</v>
      </c>
      <c r="J811" s="1" t="s">
        <v>17</v>
      </c>
      <c r="K811">
        <v>1</v>
      </c>
    </row>
    <row r="812" spans="1:11" x14ac:dyDescent="0.3">
      <c r="A812" s="1" t="s">
        <v>13</v>
      </c>
      <c r="B812">
        <v>50</v>
      </c>
      <c r="C812" t="str" cm="1">
        <f t="array" ref="C812">_xlfn.IFS(
    Dataset[[#This Row],[Age]]&lt;=10, "0-10",
    AND(Dataset[[#This Row],[Age]]&gt;10, Dataset[[#This Row],[Age]]&lt;=18), "11-18",
    AND(Dataset[[#This Row],[Age]]&gt;18, Dataset[[#This Row],[Age]]&lt;=30), "19-30",
    AND(Dataset[[#This Row],[Age]]&gt;30, Dataset[[#This Row],[Age]]&lt;=60), "31-60",
    Dataset[[#This Row],[Age]]&gt;60, "above 60"
)</f>
        <v>31-60</v>
      </c>
      <c r="D812">
        <v>0</v>
      </c>
      <c r="E812">
        <v>0</v>
      </c>
      <c r="F812">
        <v>1</v>
      </c>
      <c r="G81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12" s="1" t="s">
        <v>31</v>
      </c>
      <c r="I812" s="1" t="s">
        <v>15</v>
      </c>
      <c r="J812" s="1" t="s">
        <v>22</v>
      </c>
      <c r="K812">
        <v>0</v>
      </c>
    </row>
    <row r="813" spans="1:11" x14ac:dyDescent="0.3">
      <c r="A813" s="1" t="s">
        <v>9</v>
      </c>
      <c r="B813">
        <v>31</v>
      </c>
      <c r="C813" t="str" cm="1">
        <f t="array" ref="C813">_xlfn.IFS(
    Dataset[[#This Row],[Age]]&lt;=10, "0-10",
    AND(Dataset[[#This Row],[Age]]&gt;10, Dataset[[#This Row],[Age]]&lt;=18), "11-18",
    AND(Dataset[[#This Row],[Age]]&gt;18, Dataset[[#This Row],[Age]]&lt;=30), "19-30",
    AND(Dataset[[#This Row],[Age]]&gt;30, Dataset[[#This Row],[Age]]&lt;=60), "31-60",
    Dataset[[#This Row],[Age]]&gt;60, "above 60"
)</f>
        <v>31-60</v>
      </c>
      <c r="D813">
        <v>1</v>
      </c>
      <c r="E813">
        <v>1</v>
      </c>
      <c r="F813">
        <v>1</v>
      </c>
      <c r="G81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13" s="1" t="s">
        <v>23</v>
      </c>
      <c r="I813" s="1" t="s">
        <v>11</v>
      </c>
      <c r="J813" s="1" t="s">
        <v>12</v>
      </c>
      <c r="K813">
        <v>1</v>
      </c>
    </row>
    <row r="814" spans="1:11" x14ac:dyDescent="0.3">
      <c r="A814" s="1" t="s">
        <v>13</v>
      </c>
      <c r="B814">
        <v>49</v>
      </c>
      <c r="C814" t="str" cm="1">
        <f t="array" ref="C814">_xlfn.IFS(
    Dataset[[#This Row],[Age]]&lt;=10, "0-10",
    AND(Dataset[[#This Row],[Age]]&gt;10, Dataset[[#This Row],[Age]]&lt;=18), "11-18",
    AND(Dataset[[#This Row],[Age]]&gt;18, Dataset[[#This Row],[Age]]&lt;=30), "19-30",
    AND(Dataset[[#This Row],[Age]]&gt;30, Dataset[[#This Row],[Age]]&lt;=60), "31-60",
    Dataset[[#This Row],[Age]]&gt;60, "above 60"
)</f>
        <v>31-60</v>
      </c>
      <c r="D814">
        <v>1</v>
      </c>
      <c r="E814">
        <v>1</v>
      </c>
      <c r="F814">
        <v>1</v>
      </c>
      <c r="G81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14" s="1" t="s">
        <v>46</v>
      </c>
      <c r="I814" s="1" t="s">
        <v>15</v>
      </c>
      <c r="J814" s="1" t="s">
        <v>12</v>
      </c>
      <c r="K814">
        <v>1</v>
      </c>
    </row>
    <row r="815" spans="1:11" x14ac:dyDescent="0.3">
      <c r="A815" s="1" t="s">
        <v>13</v>
      </c>
      <c r="B815">
        <v>35</v>
      </c>
      <c r="C815" t="str" cm="1">
        <f t="array" ref="C815">_xlfn.IFS(
    Dataset[[#This Row],[Age]]&lt;=10, "0-10",
    AND(Dataset[[#This Row],[Age]]&gt;10, Dataset[[#This Row],[Age]]&lt;=18), "11-18",
    AND(Dataset[[#This Row],[Age]]&gt;18, Dataset[[#This Row],[Age]]&lt;=30), "19-30",
    AND(Dataset[[#This Row],[Age]]&gt;30, Dataset[[#This Row],[Age]]&lt;=60), "31-60",
    Dataset[[#This Row],[Age]]&gt;60, "above 60"
)</f>
        <v>31-60</v>
      </c>
      <c r="D815">
        <v>1</v>
      </c>
      <c r="E815">
        <v>1</v>
      </c>
      <c r="F815">
        <v>0</v>
      </c>
      <c r="G81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15" s="1" t="s">
        <v>26</v>
      </c>
      <c r="I815" s="1" t="s">
        <v>11</v>
      </c>
      <c r="J815" s="1" t="s">
        <v>22</v>
      </c>
      <c r="K815">
        <v>1</v>
      </c>
    </row>
    <row r="816" spans="1:11" x14ac:dyDescent="0.3">
      <c r="A816" s="1" t="s">
        <v>9</v>
      </c>
      <c r="B816">
        <v>16</v>
      </c>
      <c r="C816" t="str" cm="1">
        <f t="array" ref="C816">_xlfn.IFS(
    Dataset[[#This Row],[Age]]&lt;=10, "0-10",
    AND(Dataset[[#This Row],[Age]]&gt;10, Dataset[[#This Row],[Age]]&lt;=18), "11-18",
    AND(Dataset[[#This Row],[Age]]&gt;18, Dataset[[#This Row],[Age]]&lt;=30), "19-30",
    AND(Dataset[[#This Row],[Age]]&gt;30, Dataset[[#This Row],[Age]]&lt;=60), "31-60",
    Dataset[[#This Row],[Age]]&gt;60, "above 60"
)</f>
        <v>11-18</v>
      </c>
      <c r="D816">
        <v>1</v>
      </c>
      <c r="E816">
        <v>1</v>
      </c>
      <c r="F816">
        <v>0</v>
      </c>
      <c r="G81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16" s="1" t="s">
        <v>36</v>
      </c>
      <c r="I816" s="1" t="s">
        <v>15</v>
      </c>
      <c r="J816" s="1" t="s">
        <v>22</v>
      </c>
      <c r="K816">
        <v>1</v>
      </c>
    </row>
    <row r="817" spans="1:11" x14ac:dyDescent="0.3">
      <c r="A817" s="1" t="s">
        <v>9</v>
      </c>
      <c r="B817">
        <v>37</v>
      </c>
      <c r="C817" t="str" cm="1">
        <f t="array" ref="C817">_xlfn.IFS(
    Dataset[[#This Row],[Age]]&lt;=10, "0-10",
    AND(Dataset[[#This Row],[Age]]&gt;10, Dataset[[#This Row],[Age]]&lt;=18), "11-18",
    AND(Dataset[[#This Row],[Age]]&gt;18, Dataset[[#This Row],[Age]]&lt;=30), "19-30",
    AND(Dataset[[#This Row],[Age]]&gt;30, Dataset[[#This Row],[Age]]&lt;=60), "31-60",
    Dataset[[#This Row],[Age]]&gt;60, "above 60"
)</f>
        <v>31-60</v>
      </c>
      <c r="D817">
        <v>0</v>
      </c>
      <c r="E817">
        <v>0</v>
      </c>
      <c r="F817">
        <v>0</v>
      </c>
      <c r="G81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17" s="1" t="s">
        <v>27</v>
      </c>
      <c r="I817" s="1" t="s">
        <v>11</v>
      </c>
      <c r="J817" s="1" t="s">
        <v>17</v>
      </c>
      <c r="K817">
        <v>0</v>
      </c>
    </row>
    <row r="818" spans="1:11" x14ac:dyDescent="0.3">
      <c r="A818" s="1" t="s">
        <v>9</v>
      </c>
      <c r="B818">
        <v>48</v>
      </c>
      <c r="C818" t="str" cm="1">
        <f t="array" ref="C818">_xlfn.IFS(
    Dataset[[#This Row],[Age]]&lt;=10, "0-10",
    AND(Dataset[[#This Row],[Age]]&gt;10, Dataset[[#This Row],[Age]]&lt;=18), "11-18",
    AND(Dataset[[#This Row],[Age]]&gt;18, Dataset[[#This Row],[Age]]&lt;=30), "19-30",
    AND(Dataset[[#This Row],[Age]]&gt;30, Dataset[[#This Row],[Age]]&lt;=60), "31-60",
    Dataset[[#This Row],[Age]]&gt;60, "above 60"
)</f>
        <v>31-60</v>
      </c>
      <c r="D818">
        <v>0</v>
      </c>
      <c r="E818">
        <v>0</v>
      </c>
      <c r="F818">
        <v>0</v>
      </c>
      <c r="G81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18" s="1" t="s">
        <v>34</v>
      </c>
      <c r="I818" s="1" t="s">
        <v>15</v>
      </c>
      <c r="J818" s="1" t="s">
        <v>17</v>
      </c>
      <c r="K818">
        <v>0</v>
      </c>
    </row>
    <row r="819" spans="1:11" x14ac:dyDescent="0.3">
      <c r="A819" s="1" t="s">
        <v>13</v>
      </c>
      <c r="B819">
        <v>11</v>
      </c>
      <c r="C819" t="str" cm="1">
        <f t="array" ref="C819">_xlfn.IFS(
    Dataset[[#This Row],[Age]]&lt;=10, "0-10",
    AND(Dataset[[#This Row],[Age]]&gt;10, Dataset[[#This Row],[Age]]&lt;=18), "11-18",
    AND(Dataset[[#This Row],[Age]]&gt;18, Dataset[[#This Row],[Age]]&lt;=30), "19-30",
    AND(Dataset[[#This Row],[Age]]&gt;30, Dataset[[#This Row],[Age]]&lt;=60), "31-60",
    Dataset[[#This Row],[Age]]&gt;60, "above 60"
)</f>
        <v>11-18</v>
      </c>
      <c r="D819">
        <v>0</v>
      </c>
      <c r="E819">
        <v>0</v>
      </c>
      <c r="F819">
        <v>0</v>
      </c>
      <c r="G81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19" s="1" t="s">
        <v>36</v>
      </c>
      <c r="I819" s="1" t="s">
        <v>11</v>
      </c>
      <c r="J819" s="1" t="s">
        <v>22</v>
      </c>
      <c r="K819">
        <v>0</v>
      </c>
    </row>
    <row r="820" spans="1:11" x14ac:dyDescent="0.3">
      <c r="A820" s="1" t="s">
        <v>13</v>
      </c>
      <c r="B820">
        <v>21</v>
      </c>
      <c r="C820" t="str" cm="1">
        <f t="array" ref="C820">_xlfn.IFS(
    Dataset[[#This Row],[Age]]&lt;=10, "0-10",
    AND(Dataset[[#This Row],[Age]]&gt;10, Dataset[[#This Row],[Age]]&lt;=18), "11-18",
    AND(Dataset[[#This Row],[Age]]&gt;18, Dataset[[#This Row],[Age]]&lt;=30), "19-30",
    AND(Dataset[[#This Row],[Age]]&gt;30, Dataset[[#This Row],[Age]]&lt;=60), "31-60",
    Dataset[[#This Row],[Age]]&gt;60, "above 60"
)</f>
        <v>19-30</v>
      </c>
      <c r="D820">
        <v>1</v>
      </c>
      <c r="E820">
        <v>1</v>
      </c>
      <c r="F820">
        <v>1</v>
      </c>
      <c r="G82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20" s="1" t="s">
        <v>28</v>
      </c>
      <c r="I820" s="1" t="s">
        <v>15</v>
      </c>
      <c r="J820" s="1" t="s">
        <v>17</v>
      </c>
      <c r="K820">
        <v>1</v>
      </c>
    </row>
    <row r="821" spans="1:11" x14ac:dyDescent="0.3">
      <c r="A821" s="1" t="s">
        <v>13</v>
      </c>
      <c r="B821">
        <v>45</v>
      </c>
      <c r="C821" t="str" cm="1">
        <f t="array" ref="C821">_xlfn.IFS(
    Dataset[[#This Row],[Age]]&lt;=10, "0-10",
    AND(Dataset[[#This Row],[Age]]&gt;10, Dataset[[#This Row],[Age]]&lt;=18), "11-18",
    AND(Dataset[[#This Row],[Age]]&gt;18, Dataset[[#This Row],[Age]]&lt;=30), "19-30",
    AND(Dataset[[#This Row],[Age]]&gt;30, Dataset[[#This Row],[Age]]&lt;=60), "31-60",
    Dataset[[#This Row],[Age]]&gt;60, "above 60"
)</f>
        <v>31-60</v>
      </c>
      <c r="D821">
        <v>1</v>
      </c>
      <c r="E821">
        <v>1</v>
      </c>
      <c r="F821">
        <v>0</v>
      </c>
      <c r="G82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21" s="1" t="s">
        <v>28</v>
      </c>
      <c r="I821" s="1" t="s">
        <v>11</v>
      </c>
      <c r="J821" s="1" t="s">
        <v>17</v>
      </c>
      <c r="K821">
        <v>1</v>
      </c>
    </row>
    <row r="822" spans="1:11" x14ac:dyDescent="0.3">
      <c r="A822" s="1" t="s">
        <v>13</v>
      </c>
      <c r="B822">
        <v>53</v>
      </c>
      <c r="C822" t="str" cm="1">
        <f t="array" ref="C822">_xlfn.IFS(
    Dataset[[#This Row],[Age]]&lt;=10, "0-10",
    AND(Dataset[[#This Row],[Age]]&gt;10, Dataset[[#This Row],[Age]]&lt;=18), "11-18",
    AND(Dataset[[#This Row],[Age]]&gt;18, Dataset[[#This Row],[Age]]&lt;=30), "19-30",
    AND(Dataset[[#This Row],[Age]]&gt;30, Dataset[[#This Row],[Age]]&lt;=60), "31-60",
    Dataset[[#This Row],[Age]]&gt;60, "above 60"
)</f>
        <v>31-60</v>
      </c>
      <c r="D822">
        <v>0</v>
      </c>
      <c r="E822">
        <v>0</v>
      </c>
      <c r="F822">
        <v>1</v>
      </c>
      <c r="G82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22" s="1" t="s">
        <v>36</v>
      </c>
      <c r="I822" s="1" t="s">
        <v>15</v>
      </c>
      <c r="J822" s="1" t="s">
        <v>17</v>
      </c>
      <c r="K822">
        <v>0</v>
      </c>
    </row>
    <row r="823" spans="1:11" x14ac:dyDescent="0.3">
      <c r="A823" s="1" t="s">
        <v>9</v>
      </c>
      <c r="B823">
        <v>13</v>
      </c>
      <c r="C823" t="str" cm="1">
        <f t="array" ref="C823">_xlfn.IFS(
    Dataset[[#This Row],[Age]]&lt;=10, "0-10",
    AND(Dataset[[#This Row],[Age]]&gt;10, Dataset[[#This Row],[Age]]&lt;=18), "11-18",
    AND(Dataset[[#This Row],[Age]]&gt;18, Dataset[[#This Row],[Age]]&lt;=30), "19-30",
    AND(Dataset[[#This Row],[Age]]&gt;30, Dataset[[#This Row],[Age]]&lt;=60), "31-60",
    Dataset[[#This Row],[Age]]&gt;60, "above 60"
)</f>
        <v>11-18</v>
      </c>
      <c r="D823">
        <v>1</v>
      </c>
      <c r="E823">
        <v>1</v>
      </c>
      <c r="F823">
        <v>1</v>
      </c>
      <c r="G82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23" s="1" t="s">
        <v>42</v>
      </c>
      <c r="I823" s="1" t="s">
        <v>11</v>
      </c>
      <c r="J823" s="1" t="s">
        <v>22</v>
      </c>
      <c r="K823">
        <v>1</v>
      </c>
    </row>
    <row r="824" spans="1:11" x14ac:dyDescent="0.3">
      <c r="A824" s="1" t="s">
        <v>9</v>
      </c>
      <c r="B824">
        <v>18</v>
      </c>
      <c r="C824" t="str" cm="1">
        <f t="array" ref="C824">_xlfn.IFS(
    Dataset[[#This Row],[Age]]&lt;=10, "0-10",
    AND(Dataset[[#This Row],[Age]]&gt;10, Dataset[[#This Row],[Age]]&lt;=18), "11-18",
    AND(Dataset[[#This Row],[Age]]&gt;18, Dataset[[#This Row],[Age]]&lt;=30), "19-30",
    AND(Dataset[[#This Row],[Age]]&gt;30, Dataset[[#This Row],[Age]]&lt;=60), "31-60",
    Dataset[[#This Row],[Age]]&gt;60, "above 60"
)</f>
        <v>11-18</v>
      </c>
      <c r="D824">
        <v>0</v>
      </c>
      <c r="E824">
        <v>0</v>
      </c>
      <c r="F824">
        <v>1</v>
      </c>
      <c r="G82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24" s="1" t="s">
        <v>36</v>
      </c>
      <c r="I824" s="1" t="s">
        <v>15</v>
      </c>
      <c r="J824" s="1" t="s">
        <v>12</v>
      </c>
      <c r="K824">
        <v>0</v>
      </c>
    </row>
    <row r="825" spans="1:11" x14ac:dyDescent="0.3">
      <c r="A825" s="1" t="s">
        <v>13</v>
      </c>
      <c r="B825">
        <v>34</v>
      </c>
      <c r="C825" t="str" cm="1">
        <f t="array" ref="C825">_xlfn.IFS(
    Dataset[[#This Row],[Age]]&lt;=10, "0-10",
    AND(Dataset[[#This Row],[Age]]&gt;10, Dataset[[#This Row],[Age]]&lt;=18), "11-18",
    AND(Dataset[[#This Row],[Age]]&gt;18, Dataset[[#This Row],[Age]]&lt;=30), "19-30",
    AND(Dataset[[#This Row],[Age]]&gt;30, Dataset[[#This Row],[Age]]&lt;=60), "31-60",
    Dataset[[#This Row],[Age]]&gt;60, "above 60"
)</f>
        <v>31-60</v>
      </c>
      <c r="D825">
        <v>1</v>
      </c>
      <c r="E825">
        <v>1</v>
      </c>
      <c r="F825">
        <v>1</v>
      </c>
      <c r="G82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25" s="1" t="s">
        <v>39</v>
      </c>
      <c r="I825" s="1" t="s">
        <v>11</v>
      </c>
      <c r="J825" s="1" t="s">
        <v>17</v>
      </c>
      <c r="K825">
        <v>1</v>
      </c>
    </row>
    <row r="826" spans="1:11" x14ac:dyDescent="0.3">
      <c r="A826" s="1" t="s">
        <v>13</v>
      </c>
      <c r="B826">
        <v>22</v>
      </c>
      <c r="C826" t="str" cm="1">
        <f t="array" ref="C826">_xlfn.IFS(
    Dataset[[#This Row],[Age]]&lt;=10, "0-10",
    AND(Dataset[[#This Row],[Age]]&gt;10, Dataset[[#This Row],[Age]]&lt;=18), "11-18",
    AND(Dataset[[#This Row],[Age]]&gt;18, Dataset[[#This Row],[Age]]&lt;=30), "19-30",
    AND(Dataset[[#This Row],[Age]]&gt;30, Dataset[[#This Row],[Age]]&lt;=60), "31-60",
    Dataset[[#This Row],[Age]]&gt;60, "above 60"
)</f>
        <v>19-30</v>
      </c>
      <c r="D826">
        <v>0</v>
      </c>
      <c r="E826">
        <v>0</v>
      </c>
      <c r="F826">
        <v>0</v>
      </c>
      <c r="G82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26" s="1" t="s">
        <v>33</v>
      </c>
      <c r="I826" s="1" t="s">
        <v>15</v>
      </c>
      <c r="J826" s="1" t="s">
        <v>17</v>
      </c>
      <c r="K826">
        <v>0</v>
      </c>
    </row>
    <row r="827" spans="1:11" x14ac:dyDescent="0.3">
      <c r="A827" s="1" t="s">
        <v>13</v>
      </c>
      <c r="B827">
        <v>39</v>
      </c>
      <c r="C827" t="str" cm="1">
        <f t="array" ref="C827">_xlfn.IFS(
    Dataset[[#This Row],[Age]]&lt;=10, "0-10",
    AND(Dataset[[#This Row],[Age]]&gt;10, Dataset[[#This Row],[Age]]&lt;=18), "11-18",
    AND(Dataset[[#This Row],[Age]]&gt;18, Dataset[[#This Row],[Age]]&lt;=30), "19-30",
    AND(Dataset[[#This Row],[Age]]&gt;30, Dataset[[#This Row],[Age]]&lt;=60), "31-60",
    Dataset[[#This Row],[Age]]&gt;60, "above 60"
)</f>
        <v>31-60</v>
      </c>
      <c r="D827">
        <v>1</v>
      </c>
      <c r="E827">
        <v>1</v>
      </c>
      <c r="F827">
        <v>1</v>
      </c>
      <c r="G82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27" s="1" t="s">
        <v>48</v>
      </c>
      <c r="I827" s="1" t="s">
        <v>11</v>
      </c>
      <c r="J827" s="1" t="s">
        <v>17</v>
      </c>
      <c r="K827">
        <v>1</v>
      </c>
    </row>
    <row r="828" spans="1:11" x14ac:dyDescent="0.3">
      <c r="A828" s="1" t="s">
        <v>13</v>
      </c>
      <c r="B828">
        <v>21</v>
      </c>
      <c r="C828" t="str" cm="1">
        <f t="array" ref="C828">_xlfn.IFS(
    Dataset[[#This Row],[Age]]&lt;=10, "0-10",
    AND(Dataset[[#This Row],[Age]]&gt;10, Dataset[[#This Row],[Age]]&lt;=18), "11-18",
    AND(Dataset[[#This Row],[Age]]&gt;18, Dataset[[#This Row],[Age]]&lt;=30), "19-30",
    AND(Dataset[[#This Row],[Age]]&gt;30, Dataset[[#This Row],[Age]]&lt;=60), "31-60",
    Dataset[[#This Row],[Age]]&gt;60, "above 60"
)</f>
        <v>19-30</v>
      </c>
      <c r="D828">
        <v>0</v>
      </c>
      <c r="E828">
        <v>0</v>
      </c>
      <c r="F828">
        <v>0</v>
      </c>
      <c r="G82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28" s="1" t="s">
        <v>40</v>
      </c>
      <c r="I828" s="1" t="s">
        <v>15</v>
      </c>
      <c r="J828" s="1" t="s">
        <v>22</v>
      </c>
      <c r="K828">
        <v>0</v>
      </c>
    </row>
    <row r="829" spans="1:11" x14ac:dyDescent="0.3">
      <c r="A829" s="1" t="s">
        <v>13</v>
      </c>
      <c r="B829">
        <v>64</v>
      </c>
      <c r="C829" t="str" cm="1">
        <f t="array" ref="C829">_xlfn.IFS(
    Dataset[[#This Row],[Age]]&lt;=10, "0-10",
    AND(Dataset[[#This Row],[Age]]&gt;10, Dataset[[#This Row],[Age]]&lt;=18), "11-18",
    AND(Dataset[[#This Row],[Age]]&gt;18, Dataset[[#This Row],[Age]]&lt;=30), "19-30",
    AND(Dataset[[#This Row],[Age]]&gt;30, Dataset[[#This Row],[Age]]&lt;=60), "31-60",
    Dataset[[#This Row],[Age]]&gt;60, "above 60"
)</f>
        <v>above 60</v>
      </c>
      <c r="D829">
        <v>0</v>
      </c>
      <c r="E829">
        <v>0</v>
      </c>
      <c r="F829">
        <v>0</v>
      </c>
      <c r="G82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29" s="1" t="s">
        <v>16</v>
      </c>
      <c r="I829" s="1" t="s">
        <v>11</v>
      </c>
      <c r="J829" s="1" t="s">
        <v>12</v>
      </c>
      <c r="K829">
        <v>0</v>
      </c>
    </row>
    <row r="830" spans="1:11" x14ac:dyDescent="0.3">
      <c r="A830" s="1" t="s">
        <v>9</v>
      </c>
      <c r="B830">
        <v>53</v>
      </c>
      <c r="C830" t="str" cm="1">
        <f t="array" ref="C830">_xlfn.IFS(
    Dataset[[#This Row],[Age]]&lt;=10, "0-10",
    AND(Dataset[[#This Row],[Age]]&gt;10, Dataset[[#This Row],[Age]]&lt;=18), "11-18",
    AND(Dataset[[#This Row],[Age]]&gt;18, Dataset[[#This Row],[Age]]&lt;=30), "19-30",
    AND(Dataset[[#This Row],[Age]]&gt;30, Dataset[[#This Row],[Age]]&lt;=60), "31-60",
    Dataset[[#This Row],[Age]]&gt;60, "above 60"
)</f>
        <v>31-60</v>
      </c>
      <c r="D830">
        <v>0</v>
      </c>
      <c r="E830">
        <v>0</v>
      </c>
      <c r="F830">
        <v>0</v>
      </c>
      <c r="G83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30" s="1" t="s">
        <v>16</v>
      </c>
      <c r="I830" s="1" t="s">
        <v>15</v>
      </c>
      <c r="J830" s="1" t="s">
        <v>17</v>
      </c>
      <c r="K830">
        <v>0</v>
      </c>
    </row>
    <row r="831" spans="1:11" x14ac:dyDescent="0.3">
      <c r="A831" s="1" t="s">
        <v>9</v>
      </c>
      <c r="B831">
        <v>21</v>
      </c>
      <c r="C831" t="str" cm="1">
        <f t="array" ref="C831">_xlfn.IFS(
    Dataset[[#This Row],[Age]]&lt;=10, "0-10",
    AND(Dataset[[#This Row],[Age]]&gt;10, Dataset[[#This Row],[Age]]&lt;=18), "11-18",
    AND(Dataset[[#This Row],[Age]]&gt;18, Dataset[[#This Row],[Age]]&lt;=30), "19-30",
    AND(Dataset[[#This Row],[Age]]&gt;30, Dataset[[#This Row],[Age]]&lt;=60), "31-60",
    Dataset[[#This Row],[Age]]&gt;60, "above 60"
)</f>
        <v>19-30</v>
      </c>
      <c r="D831">
        <v>1</v>
      </c>
      <c r="E831">
        <v>1</v>
      </c>
      <c r="F831">
        <v>1</v>
      </c>
      <c r="G83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31" s="1" t="s">
        <v>18</v>
      </c>
      <c r="I831" s="1" t="s">
        <v>11</v>
      </c>
      <c r="J831" s="1" t="s">
        <v>12</v>
      </c>
      <c r="K831">
        <v>1</v>
      </c>
    </row>
    <row r="832" spans="1:11" x14ac:dyDescent="0.3">
      <c r="A832" s="1" t="s">
        <v>9</v>
      </c>
      <c r="B832">
        <v>40</v>
      </c>
      <c r="C832" t="str" cm="1">
        <f t="array" ref="C832">_xlfn.IFS(
    Dataset[[#This Row],[Age]]&lt;=10, "0-10",
    AND(Dataset[[#This Row],[Age]]&gt;10, Dataset[[#This Row],[Age]]&lt;=18), "11-18",
    AND(Dataset[[#This Row],[Age]]&gt;18, Dataset[[#This Row],[Age]]&lt;=30), "19-30",
    AND(Dataset[[#This Row],[Age]]&gt;30, Dataset[[#This Row],[Age]]&lt;=60), "31-60",
    Dataset[[#This Row],[Age]]&gt;60, "above 60"
)</f>
        <v>31-60</v>
      </c>
      <c r="D832">
        <v>1</v>
      </c>
      <c r="E832">
        <v>1</v>
      </c>
      <c r="F832">
        <v>1</v>
      </c>
      <c r="G83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32" s="1" t="s">
        <v>31</v>
      </c>
      <c r="I832" s="1" t="s">
        <v>15</v>
      </c>
      <c r="J832" s="1" t="s">
        <v>12</v>
      </c>
      <c r="K832">
        <v>1</v>
      </c>
    </row>
    <row r="833" spans="1:11" x14ac:dyDescent="0.3">
      <c r="A833" s="1" t="s">
        <v>13</v>
      </c>
      <c r="B833">
        <v>39</v>
      </c>
      <c r="C833" t="str" cm="1">
        <f t="array" ref="C833">_xlfn.IFS(
    Dataset[[#This Row],[Age]]&lt;=10, "0-10",
    AND(Dataset[[#This Row],[Age]]&gt;10, Dataset[[#This Row],[Age]]&lt;=18), "11-18",
    AND(Dataset[[#This Row],[Age]]&gt;18, Dataset[[#This Row],[Age]]&lt;=30), "19-30",
    AND(Dataset[[#This Row],[Age]]&gt;30, Dataset[[#This Row],[Age]]&lt;=60), "31-60",
    Dataset[[#This Row],[Age]]&gt;60, "above 60"
)</f>
        <v>31-60</v>
      </c>
      <c r="D833">
        <v>1</v>
      </c>
      <c r="E833">
        <v>1</v>
      </c>
      <c r="F833">
        <v>1</v>
      </c>
      <c r="G83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33" s="1" t="s">
        <v>20</v>
      </c>
      <c r="I833" s="1" t="s">
        <v>11</v>
      </c>
      <c r="J833" s="1" t="s">
        <v>12</v>
      </c>
      <c r="K833">
        <v>1</v>
      </c>
    </row>
    <row r="834" spans="1:11" x14ac:dyDescent="0.3">
      <c r="A834" s="1" t="s">
        <v>9</v>
      </c>
      <c r="B834">
        <v>47</v>
      </c>
      <c r="C834" t="str" cm="1">
        <f t="array" ref="C834">_xlfn.IFS(
    Dataset[[#This Row],[Age]]&lt;=10, "0-10",
    AND(Dataset[[#This Row],[Age]]&gt;10, Dataset[[#This Row],[Age]]&lt;=18), "11-18",
    AND(Dataset[[#This Row],[Age]]&gt;18, Dataset[[#This Row],[Age]]&lt;=30), "19-30",
    AND(Dataset[[#This Row],[Age]]&gt;30, Dataset[[#This Row],[Age]]&lt;=60), "31-60",
    Dataset[[#This Row],[Age]]&gt;60, "above 60"
)</f>
        <v>31-60</v>
      </c>
      <c r="D834">
        <v>1</v>
      </c>
      <c r="E834">
        <v>1</v>
      </c>
      <c r="F834">
        <v>1</v>
      </c>
      <c r="G83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34" s="1" t="s">
        <v>20</v>
      </c>
      <c r="I834" s="1" t="s">
        <v>15</v>
      </c>
      <c r="J834" s="1" t="s">
        <v>22</v>
      </c>
      <c r="K834">
        <v>1</v>
      </c>
    </row>
    <row r="835" spans="1:11" x14ac:dyDescent="0.3">
      <c r="A835" s="1" t="s">
        <v>13</v>
      </c>
      <c r="B835">
        <v>52</v>
      </c>
      <c r="C835" t="str" cm="1">
        <f t="array" ref="C835">_xlfn.IFS(
    Dataset[[#This Row],[Age]]&lt;=10, "0-10",
    AND(Dataset[[#This Row],[Age]]&gt;10, Dataset[[#This Row],[Age]]&lt;=18), "11-18",
    AND(Dataset[[#This Row],[Age]]&gt;18, Dataset[[#This Row],[Age]]&lt;=30), "19-30",
    AND(Dataset[[#This Row],[Age]]&gt;30, Dataset[[#This Row],[Age]]&lt;=60), "31-60",
    Dataset[[#This Row],[Age]]&gt;60, "above 60"
)</f>
        <v>31-60</v>
      </c>
      <c r="D835">
        <v>0</v>
      </c>
      <c r="E835">
        <v>0</v>
      </c>
      <c r="F835">
        <v>1</v>
      </c>
      <c r="G83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35" s="1" t="s">
        <v>26</v>
      </c>
      <c r="I835" s="1" t="s">
        <v>11</v>
      </c>
      <c r="J835" s="1" t="s">
        <v>17</v>
      </c>
      <c r="K835">
        <v>0</v>
      </c>
    </row>
    <row r="836" spans="1:11" x14ac:dyDescent="0.3">
      <c r="A836" s="1" t="s">
        <v>9</v>
      </c>
      <c r="B836">
        <v>17</v>
      </c>
      <c r="C836" t="str" cm="1">
        <f t="array" ref="C836">_xlfn.IFS(
    Dataset[[#This Row],[Age]]&lt;=10, "0-10",
    AND(Dataset[[#This Row],[Age]]&gt;10, Dataset[[#This Row],[Age]]&lt;=18), "11-18",
    AND(Dataset[[#This Row],[Age]]&gt;18, Dataset[[#This Row],[Age]]&lt;=30), "19-30",
    AND(Dataset[[#This Row],[Age]]&gt;30, Dataset[[#This Row],[Age]]&lt;=60), "31-60",
    Dataset[[#This Row],[Age]]&gt;60, "above 60"
)</f>
        <v>11-18</v>
      </c>
      <c r="D836">
        <v>1</v>
      </c>
      <c r="E836">
        <v>1</v>
      </c>
      <c r="F836">
        <v>1</v>
      </c>
      <c r="G83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36" s="1" t="s">
        <v>26</v>
      </c>
      <c r="I836" s="1" t="s">
        <v>15</v>
      </c>
      <c r="J836" s="1" t="s">
        <v>12</v>
      </c>
      <c r="K836">
        <v>1</v>
      </c>
    </row>
    <row r="837" spans="1:11" x14ac:dyDescent="0.3">
      <c r="A837" s="1" t="s">
        <v>13</v>
      </c>
      <c r="B837">
        <v>65</v>
      </c>
      <c r="C837" t="str" cm="1">
        <f t="array" ref="C837">_xlfn.IFS(
    Dataset[[#This Row],[Age]]&lt;=10, "0-10",
    AND(Dataset[[#This Row],[Age]]&gt;10, Dataset[[#This Row],[Age]]&lt;=18), "11-18",
    AND(Dataset[[#This Row],[Age]]&gt;18, Dataset[[#This Row],[Age]]&lt;=30), "19-30",
    AND(Dataset[[#This Row],[Age]]&gt;30, Dataset[[#This Row],[Age]]&lt;=60), "31-60",
    Dataset[[#This Row],[Age]]&gt;60, "above 60"
)</f>
        <v>above 60</v>
      </c>
      <c r="D837">
        <v>0</v>
      </c>
      <c r="E837">
        <v>0</v>
      </c>
      <c r="F837">
        <v>0</v>
      </c>
      <c r="G83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37" s="1" t="s">
        <v>29</v>
      </c>
      <c r="I837" s="1" t="s">
        <v>11</v>
      </c>
      <c r="J837" s="1" t="s">
        <v>22</v>
      </c>
      <c r="K837">
        <v>0</v>
      </c>
    </row>
    <row r="838" spans="1:11" x14ac:dyDescent="0.3">
      <c r="A838" s="1" t="s">
        <v>13</v>
      </c>
      <c r="B838">
        <v>32</v>
      </c>
      <c r="C838" t="str" cm="1">
        <f t="array" ref="C838">_xlfn.IFS(
    Dataset[[#This Row],[Age]]&lt;=10, "0-10",
    AND(Dataset[[#This Row],[Age]]&gt;10, Dataset[[#This Row],[Age]]&lt;=18), "11-18",
    AND(Dataset[[#This Row],[Age]]&gt;18, Dataset[[#This Row],[Age]]&lt;=30), "19-30",
    AND(Dataset[[#This Row],[Age]]&gt;30, Dataset[[#This Row],[Age]]&lt;=60), "31-60",
    Dataset[[#This Row],[Age]]&gt;60, "above 60"
)</f>
        <v>31-60</v>
      </c>
      <c r="D838">
        <v>0</v>
      </c>
      <c r="E838">
        <v>0</v>
      </c>
      <c r="F838">
        <v>1</v>
      </c>
      <c r="G83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38" s="1" t="s">
        <v>14</v>
      </c>
      <c r="I838" s="1" t="s">
        <v>15</v>
      </c>
      <c r="J838" s="1" t="s">
        <v>22</v>
      </c>
      <c r="K838">
        <v>0</v>
      </c>
    </row>
    <row r="839" spans="1:11" x14ac:dyDescent="0.3">
      <c r="A839" s="1" t="s">
        <v>13</v>
      </c>
      <c r="B839">
        <v>8</v>
      </c>
      <c r="C839" t="str" cm="1">
        <f t="array" ref="C839">_xlfn.IFS(
    Dataset[[#This Row],[Age]]&lt;=10, "0-10",
    AND(Dataset[[#This Row],[Age]]&gt;10, Dataset[[#This Row],[Age]]&lt;=18), "11-18",
    AND(Dataset[[#This Row],[Age]]&gt;18, Dataset[[#This Row],[Age]]&lt;=30), "19-30",
    AND(Dataset[[#This Row],[Age]]&gt;30, Dataset[[#This Row],[Age]]&lt;=60), "31-60",
    Dataset[[#This Row],[Age]]&gt;60, "above 60"
)</f>
        <v>0-10</v>
      </c>
      <c r="D839">
        <v>1</v>
      </c>
      <c r="E839">
        <v>1</v>
      </c>
      <c r="F839">
        <v>0</v>
      </c>
      <c r="G83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39" s="1" t="s">
        <v>42</v>
      </c>
      <c r="I839" s="1" t="s">
        <v>11</v>
      </c>
      <c r="J839" s="1" t="s">
        <v>12</v>
      </c>
      <c r="K839">
        <v>1</v>
      </c>
    </row>
    <row r="840" spans="1:11" x14ac:dyDescent="0.3">
      <c r="A840" s="1" t="s">
        <v>9</v>
      </c>
      <c r="B840">
        <v>55</v>
      </c>
      <c r="C840" t="str" cm="1">
        <f t="array" ref="C840">_xlfn.IFS(
    Dataset[[#This Row],[Age]]&lt;=10, "0-10",
    AND(Dataset[[#This Row],[Age]]&gt;10, Dataset[[#This Row],[Age]]&lt;=18), "11-18",
    AND(Dataset[[#This Row],[Age]]&gt;18, Dataset[[#This Row],[Age]]&lt;=30), "19-30",
    AND(Dataset[[#This Row],[Age]]&gt;30, Dataset[[#This Row],[Age]]&lt;=60), "31-60",
    Dataset[[#This Row],[Age]]&gt;60, "above 60"
)</f>
        <v>31-60</v>
      </c>
      <c r="D840">
        <v>0</v>
      </c>
      <c r="E840">
        <v>0</v>
      </c>
      <c r="F840">
        <v>1</v>
      </c>
      <c r="G84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40" s="1" t="s">
        <v>33</v>
      </c>
      <c r="I840" s="1" t="s">
        <v>15</v>
      </c>
      <c r="J840" s="1" t="s">
        <v>12</v>
      </c>
      <c r="K840">
        <v>0</v>
      </c>
    </row>
    <row r="841" spans="1:11" x14ac:dyDescent="0.3">
      <c r="A841" s="1" t="s">
        <v>13</v>
      </c>
      <c r="B841">
        <v>47</v>
      </c>
      <c r="C841" t="str" cm="1">
        <f t="array" ref="C841">_xlfn.IFS(
    Dataset[[#This Row],[Age]]&lt;=10, "0-10",
    AND(Dataset[[#This Row],[Age]]&gt;10, Dataset[[#This Row],[Age]]&lt;=18), "11-18",
    AND(Dataset[[#This Row],[Age]]&gt;18, Dataset[[#This Row],[Age]]&lt;=30), "19-30",
    AND(Dataset[[#This Row],[Age]]&gt;30, Dataset[[#This Row],[Age]]&lt;=60), "31-60",
    Dataset[[#This Row],[Age]]&gt;60, "above 60"
)</f>
        <v>31-60</v>
      </c>
      <c r="D841">
        <v>0</v>
      </c>
      <c r="E841">
        <v>0</v>
      </c>
      <c r="F841">
        <v>0</v>
      </c>
      <c r="G84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41" s="1" t="s">
        <v>49</v>
      </c>
      <c r="I841" s="1" t="s">
        <v>11</v>
      </c>
      <c r="J841" s="1" t="s">
        <v>17</v>
      </c>
      <c r="K841">
        <v>0</v>
      </c>
    </row>
    <row r="842" spans="1:11" x14ac:dyDescent="0.3">
      <c r="A842" s="1" t="s">
        <v>13</v>
      </c>
      <c r="B842">
        <v>47</v>
      </c>
      <c r="C842" t="str" cm="1">
        <f t="array" ref="C842">_xlfn.IFS(
    Dataset[[#This Row],[Age]]&lt;=10, "0-10",
    AND(Dataset[[#This Row],[Age]]&gt;10, Dataset[[#This Row],[Age]]&lt;=18), "11-18",
    AND(Dataset[[#This Row],[Age]]&gt;18, Dataset[[#This Row],[Age]]&lt;=30), "19-30",
    AND(Dataset[[#This Row],[Age]]&gt;30, Dataset[[#This Row],[Age]]&lt;=60), "31-60",
    Dataset[[#This Row],[Age]]&gt;60, "above 60"
)</f>
        <v>31-60</v>
      </c>
      <c r="D842">
        <v>0</v>
      </c>
      <c r="E842">
        <v>0</v>
      </c>
      <c r="F842">
        <v>0</v>
      </c>
      <c r="G84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42" s="1" t="s">
        <v>30</v>
      </c>
      <c r="I842" s="1" t="s">
        <v>15</v>
      </c>
      <c r="J842" s="1" t="s">
        <v>17</v>
      </c>
      <c r="K842">
        <v>0</v>
      </c>
    </row>
    <row r="843" spans="1:11" x14ac:dyDescent="0.3">
      <c r="A843" s="1" t="s">
        <v>13</v>
      </c>
      <c r="B843">
        <v>47</v>
      </c>
      <c r="C843" t="str" cm="1">
        <f t="array" ref="C843">_xlfn.IFS(
    Dataset[[#This Row],[Age]]&lt;=10, "0-10",
    AND(Dataset[[#This Row],[Age]]&gt;10, Dataset[[#This Row],[Age]]&lt;=18), "11-18",
    AND(Dataset[[#This Row],[Age]]&gt;18, Dataset[[#This Row],[Age]]&lt;=30), "19-30",
    AND(Dataset[[#This Row],[Age]]&gt;30, Dataset[[#This Row],[Age]]&lt;=60), "31-60",
    Dataset[[#This Row],[Age]]&gt;60, "above 60"
)</f>
        <v>31-60</v>
      </c>
      <c r="D843">
        <v>0</v>
      </c>
      <c r="E843">
        <v>0</v>
      </c>
      <c r="F843">
        <v>0</v>
      </c>
      <c r="G84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43" s="1" t="s">
        <v>51</v>
      </c>
      <c r="I843" s="1" t="s">
        <v>11</v>
      </c>
      <c r="J843" s="1" t="s">
        <v>12</v>
      </c>
      <c r="K843">
        <v>0</v>
      </c>
    </row>
    <row r="844" spans="1:11" x14ac:dyDescent="0.3">
      <c r="A844" s="1" t="s">
        <v>9</v>
      </c>
      <c r="B844">
        <v>26</v>
      </c>
      <c r="C844" t="str" cm="1">
        <f t="array" ref="C844">_xlfn.IFS(
    Dataset[[#This Row],[Age]]&lt;=10, "0-10",
    AND(Dataset[[#This Row],[Age]]&gt;10, Dataset[[#This Row],[Age]]&lt;=18), "11-18",
    AND(Dataset[[#This Row],[Age]]&gt;18, Dataset[[#This Row],[Age]]&lt;=30), "19-30",
    AND(Dataset[[#This Row],[Age]]&gt;30, Dataset[[#This Row],[Age]]&lt;=60), "31-60",
    Dataset[[#This Row],[Age]]&gt;60, "above 60"
)</f>
        <v>19-30</v>
      </c>
      <c r="D844">
        <v>1</v>
      </c>
      <c r="E844">
        <v>1</v>
      </c>
      <c r="F844">
        <v>0</v>
      </c>
      <c r="G84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44" s="1" t="s">
        <v>44</v>
      </c>
      <c r="I844" s="1" t="s">
        <v>15</v>
      </c>
      <c r="J844" s="1" t="s">
        <v>17</v>
      </c>
      <c r="K844">
        <v>1</v>
      </c>
    </row>
    <row r="845" spans="1:11" x14ac:dyDescent="0.3">
      <c r="A845" s="1" t="s">
        <v>13</v>
      </c>
      <c r="B845">
        <v>36</v>
      </c>
      <c r="C845" t="str" cm="1">
        <f t="array" ref="C845">_xlfn.IFS(
    Dataset[[#This Row],[Age]]&lt;=10, "0-10",
    AND(Dataset[[#This Row],[Age]]&gt;10, Dataset[[#This Row],[Age]]&lt;=18), "11-18",
    AND(Dataset[[#This Row],[Age]]&gt;18, Dataset[[#This Row],[Age]]&lt;=30), "19-30",
    AND(Dataset[[#This Row],[Age]]&gt;30, Dataset[[#This Row],[Age]]&lt;=60), "31-60",
    Dataset[[#This Row],[Age]]&gt;60, "above 60"
)</f>
        <v>31-60</v>
      </c>
      <c r="D845">
        <v>0</v>
      </c>
      <c r="E845">
        <v>0</v>
      </c>
      <c r="F845">
        <v>0</v>
      </c>
      <c r="G84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45" s="1" t="s">
        <v>36</v>
      </c>
      <c r="I845" s="1" t="s">
        <v>11</v>
      </c>
      <c r="J845" s="1" t="s">
        <v>17</v>
      </c>
      <c r="K845">
        <v>0</v>
      </c>
    </row>
    <row r="846" spans="1:11" x14ac:dyDescent="0.3">
      <c r="A846" s="1" t="s">
        <v>13</v>
      </c>
      <c r="B846">
        <v>45</v>
      </c>
      <c r="C846" t="str" cm="1">
        <f t="array" ref="C846">_xlfn.IFS(
    Dataset[[#This Row],[Age]]&lt;=10, "0-10",
    AND(Dataset[[#This Row],[Age]]&gt;10, Dataset[[#This Row],[Age]]&lt;=18), "11-18",
    AND(Dataset[[#This Row],[Age]]&gt;18, Dataset[[#This Row],[Age]]&lt;=30), "19-30",
    AND(Dataset[[#This Row],[Age]]&gt;30, Dataset[[#This Row],[Age]]&lt;=60), "31-60",
    Dataset[[#This Row],[Age]]&gt;60, "above 60"
)</f>
        <v>31-60</v>
      </c>
      <c r="D846">
        <v>1</v>
      </c>
      <c r="E846">
        <v>1</v>
      </c>
      <c r="F846">
        <v>0</v>
      </c>
      <c r="G84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46" s="1" t="s">
        <v>46</v>
      </c>
      <c r="I846" s="1" t="s">
        <v>15</v>
      </c>
      <c r="J846" s="1" t="s">
        <v>12</v>
      </c>
      <c r="K846">
        <v>1</v>
      </c>
    </row>
    <row r="847" spans="1:11" x14ac:dyDescent="0.3">
      <c r="A847" s="1" t="s">
        <v>9</v>
      </c>
      <c r="B847">
        <v>24</v>
      </c>
      <c r="C847" t="str" cm="1">
        <f t="array" ref="C847">_xlfn.IFS(
    Dataset[[#This Row],[Age]]&lt;=10, "0-10",
    AND(Dataset[[#This Row],[Age]]&gt;10, Dataset[[#This Row],[Age]]&lt;=18), "11-18",
    AND(Dataset[[#This Row],[Age]]&gt;18, Dataset[[#This Row],[Age]]&lt;=30), "19-30",
    AND(Dataset[[#This Row],[Age]]&gt;30, Dataset[[#This Row],[Age]]&lt;=60), "31-60",
    Dataset[[#This Row],[Age]]&gt;60, "above 60"
)</f>
        <v>19-30</v>
      </c>
      <c r="D847">
        <v>0</v>
      </c>
      <c r="E847">
        <v>0</v>
      </c>
      <c r="F847">
        <v>0</v>
      </c>
      <c r="G84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47" s="1" t="s">
        <v>10</v>
      </c>
      <c r="I847" s="1" t="s">
        <v>11</v>
      </c>
      <c r="J847" s="1" t="s">
        <v>12</v>
      </c>
      <c r="K847">
        <v>0</v>
      </c>
    </row>
    <row r="848" spans="1:11" x14ac:dyDescent="0.3">
      <c r="A848" s="1" t="s">
        <v>9</v>
      </c>
      <c r="B848">
        <v>15</v>
      </c>
      <c r="C848" t="str" cm="1">
        <f t="array" ref="C848">_xlfn.IFS(
    Dataset[[#This Row],[Age]]&lt;=10, "0-10",
    AND(Dataset[[#This Row],[Age]]&gt;10, Dataset[[#This Row],[Age]]&lt;=18), "11-18",
    AND(Dataset[[#This Row],[Age]]&gt;18, Dataset[[#This Row],[Age]]&lt;=30), "19-30",
    AND(Dataset[[#This Row],[Age]]&gt;30, Dataset[[#This Row],[Age]]&lt;=60), "31-60",
    Dataset[[#This Row],[Age]]&gt;60, "above 60"
)</f>
        <v>11-18</v>
      </c>
      <c r="D848">
        <v>0</v>
      </c>
      <c r="E848">
        <v>0</v>
      </c>
      <c r="F848">
        <v>1</v>
      </c>
      <c r="G84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48" s="1" t="s">
        <v>26</v>
      </c>
      <c r="I848" s="1" t="s">
        <v>15</v>
      </c>
      <c r="J848" s="1" t="s">
        <v>12</v>
      </c>
      <c r="K848">
        <v>0</v>
      </c>
    </row>
    <row r="849" spans="1:11" x14ac:dyDescent="0.3">
      <c r="A849" s="1" t="s">
        <v>13</v>
      </c>
      <c r="B849">
        <v>32</v>
      </c>
      <c r="C849" t="str" cm="1">
        <f t="array" ref="C849">_xlfn.IFS(
    Dataset[[#This Row],[Age]]&lt;=10, "0-10",
    AND(Dataset[[#This Row],[Age]]&gt;10, Dataset[[#This Row],[Age]]&lt;=18), "11-18",
    AND(Dataset[[#This Row],[Age]]&gt;18, Dataset[[#This Row],[Age]]&lt;=30), "19-30",
    AND(Dataset[[#This Row],[Age]]&gt;30, Dataset[[#This Row],[Age]]&lt;=60), "31-60",
    Dataset[[#This Row],[Age]]&gt;60, "above 60"
)</f>
        <v>31-60</v>
      </c>
      <c r="D849">
        <v>1</v>
      </c>
      <c r="E849">
        <v>1</v>
      </c>
      <c r="F849">
        <v>0</v>
      </c>
      <c r="G84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49" s="1" t="s">
        <v>36</v>
      </c>
      <c r="I849" s="1" t="s">
        <v>11</v>
      </c>
      <c r="J849" s="1" t="s">
        <v>22</v>
      </c>
      <c r="K849">
        <v>1</v>
      </c>
    </row>
    <row r="850" spans="1:11" x14ac:dyDescent="0.3">
      <c r="A850" s="1" t="s">
        <v>9</v>
      </c>
      <c r="B850">
        <v>28</v>
      </c>
      <c r="C850" t="str" cm="1">
        <f t="array" ref="C850">_xlfn.IFS(
    Dataset[[#This Row],[Age]]&lt;=10, "0-10",
    AND(Dataset[[#This Row],[Age]]&gt;10, Dataset[[#This Row],[Age]]&lt;=18), "11-18",
    AND(Dataset[[#This Row],[Age]]&gt;18, Dataset[[#This Row],[Age]]&lt;=30), "19-30",
    AND(Dataset[[#This Row],[Age]]&gt;30, Dataset[[#This Row],[Age]]&lt;=60), "31-60",
    Dataset[[#This Row],[Age]]&gt;60, "above 60"
)</f>
        <v>19-30</v>
      </c>
      <c r="D850">
        <v>1</v>
      </c>
      <c r="E850">
        <v>1</v>
      </c>
      <c r="F850">
        <v>0</v>
      </c>
      <c r="G85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50" s="1" t="s">
        <v>10</v>
      </c>
      <c r="I850" s="1" t="s">
        <v>15</v>
      </c>
      <c r="J850" s="1" t="s">
        <v>22</v>
      </c>
      <c r="K850">
        <v>1</v>
      </c>
    </row>
    <row r="851" spans="1:11" x14ac:dyDescent="0.3">
      <c r="A851" s="1" t="s">
        <v>13</v>
      </c>
      <c r="B851">
        <v>53</v>
      </c>
      <c r="C851" t="str" cm="1">
        <f t="array" ref="C851">_xlfn.IFS(
    Dataset[[#This Row],[Age]]&lt;=10, "0-10",
    AND(Dataset[[#This Row],[Age]]&gt;10, Dataset[[#This Row],[Age]]&lt;=18), "11-18",
    AND(Dataset[[#This Row],[Age]]&gt;18, Dataset[[#This Row],[Age]]&lt;=30), "19-30",
    AND(Dataset[[#This Row],[Age]]&gt;30, Dataset[[#This Row],[Age]]&lt;=60), "31-60",
    Dataset[[#This Row],[Age]]&gt;60, "above 60"
)</f>
        <v>31-60</v>
      </c>
      <c r="D851">
        <v>1</v>
      </c>
      <c r="E851">
        <v>1</v>
      </c>
      <c r="F851">
        <v>1</v>
      </c>
      <c r="G85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51" s="1" t="s">
        <v>51</v>
      </c>
      <c r="I851" s="1" t="s">
        <v>11</v>
      </c>
      <c r="J851" s="1" t="s">
        <v>12</v>
      </c>
      <c r="K851">
        <v>1</v>
      </c>
    </row>
    <row r="852" spans="1:11" x14ac:dyDescent="0.3">
      <c r="A852" s="1" t="s">
        <v>13</v>
      </c>
      <c r="B852">
        <v>58</v>
      </c>
      <c r="C852" t="str" cm="1">
        <f t="array" ref="C852">_xlfn.IFS(
    Dataset[[#This Row],[Age]]&lt;=10, "0-10",
    AND(Dataset[[#This Row],[Age]]&gt;10, Dataset[[#This Row],[Age]]&lt;=18), "11-18",
    AND(Dataset[[#This Row],[Age]]&gt;18, Dataset[[#This Row],[Age]]&lt;=30), "19-30",
    AND(Dataset[[#This Row],[Age]]&gt;30, Dataset[[#This Row],[Age]]&lt;=60), "31-60",
    Dataset[[#This Row],[Age]]&gt;60, "above 60"
)</f>
        <v>31-60</v>
      </c>
      <c r="D852">
        <v>1</v>
      </c>
      <c r="E852">
        <v>1</v>
      </c>
      <c r="F852">
        <v>0</v>
      </c>
      <c r="G85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52" s="1" t="s">
        <v>14</v>
      </c>
      <c r="I852" s="1" t="s">
        <v>15</v>
      </c>
      <c r="J852" s="1" t="s">
        <v>22</v>
      </c>
      <c r="K852">
        <v>1</v>
      </c>
    </row>
    <row r="853" spans="1:11" x14ac:dyDescent="0.3">
      <c r="A853" s="1" t="s">
        <v>9</v>
      </c>
      <c r="B853">
        <v>8</v>
      </c>
      <c r="C853" t="str" cm="1">
        <f t="array" ref="C853">_xlfn.IFS(
    Dataset[[#This Row],[Age]]&lt;=10, "0-10",
    AND(Dataset[[#This Row],[Age]]&gt;10, Dataset[[#This Row],[Age]]&lt;=18), "11-18",
    AND(Dataset[[#This Row],[Age]]&gt;18, Dataset[[#This Row],[Age]]&lt;=30), "19-30",
    AND(Dataset[[#This Row],[Age]]&gt;30, Dataset[[#This Row],[Age]]&lt;=60), "31-60",
    Dataset[[#This Row],[Age]]&gt;60, "above 60"
)</f>
        <v>0-10</v>
      </c>
      <c r="D853">
        <v>0</v>
      </c>
      <c r="E853">
        <v>0</v>
      </c>
      <c r="F853">
        <v>1</v>
      </c>
      <c r="G85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53" s="1" t="s">
        <v>24</v>
      </c>
      <c r="I853" s="1" t="s">
        <v>11</v>
      </c>
      <c r="J853" s="1" t="s">
        <v>22</v>
      </c>
      <c r="K853">
        <v>0</v>
      </c>
    </row>
    <row r="854" spans="1:11" x14ac:dyDescent="0.3">
      <c r="A854" s="1" t="s">
        <v>13</v>
      </c>
      <c r="B854">
        <v>35</v>
      </c>
      <c r="C854" t="str" cm="1">
        <f t="array" ref="C854">_xlfn.IFS(
    Dataset[[#This Row],[Age]]&lt;=10, "0-10",
    AND(Dataset[[#This Row],[Age]]&gt;10, Dataset[[#This Row],[Age]]&lt;=18), "11-18",
    AND(Dataset[[#This Row],[Age]]&gt;18, Dataset[[#This Row],[Age]]&lt;=30), "19-30",
    AND(Dataset[[#This Row],[Age]]&gt;30, Dataset[[#This Row],[Age]]&lt;=60), "31-60",
    Dataset[[#This Row],[Age]]&gt;60, "above 60"
)</f>
        <v>31-60</v>
      </c>
      <c r="D854">
        <v>0</v>
      </c>
      <c r="E854">
        <v>0</v>
      </c>
      <c r="F854">
        <v>1</v>
      </c>
      <c r="G85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54" s="1" t="s">
        <v>14</v>
      </c>
      <c r="I854" s="1" t="s">
        <v>15</v>
      </c>
      <c r="J854" s="1" t="s">
        <v>22</v>
      </c>
      <c r="K854">
        <v>0</v>
      </c>
    </row>
    <row r="855" spans="1:11" x14ac:dyDescent="0.3">
      <c r="A855" s="1" t="s">
        <v>13</v>
      </c>
      <c r="B855">
        <v>44</v>
      </c>
      <c r="C855" t="str" cm="1">
        <f t="array" ref="C855">_xlfn.IFS(
    Dataset[[#This Row],[Age]]&lt;=10, "0-10",
    AND(Dataset[[#This Row],[Age]]&gt;10, Dataset[[#This Row],[Age]]&lt;=18), "11-18",
    AND(Dataset[[#This Row],[Age]]&gt;18, Dataset[[#This Row],[Age]]&lt;=30), "19-30",
    AND(Dataset[[#This Row],[Age]]&gt;30, Dataset[[#This Row],[Age]]&lt;=60), "31-60",
    Dataset[[#This Row],[Age]]&gt;60, "above 60"
)</f>
        <v>31-60</v>
      </c>
      <c r="D855">
        <v>1</v>
      </c>
      <c r="E855">
        <v>1</v>
      </c>
      <c r="F855">
        <v>1</v>
      </c>
      <c r="G85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55" s="1" t="s">
        <v>47</v>
      </c>
      <c r="I855" s="1" t="s">
        <v>11</v>
      </c>
      <c r="J855" s="1" t="s">
        <v>17</v>
      </c>
      <c r="K855">
        <v>1</v>
      </c>
    </row>
    <row r="856" spans="1:11" x14ac:dyDescent="0.3">
      <c r="A856" s="1" t="s">
        <v>9</v>
      </c>
      <c r="B856">
        <v>30</v>
      </c>
      <c r="C856" t="str" cm="1">
        <f t="array" ref="C856">_xlfn.IFS(
    Dataset[[#This Row],[Age]]&lt;=10, "0-10",
    AND(Dataset[[#This Row],[Age]]&gt;10, Dataset[[#This Row],[Age]]&lt;=18), "11-18",
    AND(Dataset[[#This Row],[Age]]&gt;18, Dataset[[#This Row],[Age]]&lt;=30), "19-30",
    AND(Dataset[[#This Row],[Age]]&gt;30, Dataset[[#This Row],[Age]]&lt;=60), "31-60",
    Dataset[[#This Row],[Age]]&gt;60, "above 60"
)</f>
        <v>19-30</v>
      </c>
      <c r="D856">
        <v>1</v>
      </c>
      <c r="E856">
        <v>1</v>
      </c>
      <c r="F856">
        <v>1</v>
      </c>
      <c r="G85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56" s="1" t="s">
        <v>16</v>
      </c>
      <c r="I856" s="1" t="s">
        <v>15</v>
      </c>
      <c r="J856" s="1" t="s">
        <v>17</v>
      </c>
      <c r="K856">
        <v>1</v>
      </c>
    </row>
    <row r="857" spans="1:11" x14ac:dyDescent="0.3">
      <c r="A857" s="1" t="s">
        <v>13</v>
      </c>
      <c r="B857">
        <v>16</v>
      </c>
      <c r="C857" t="str" cm="1">
        <f t="array" ref="C857">_xlfn.IFS(
    Dataset[[#This Row],[Age]]&lt;=10, "0-10",
    AND(Dataset[[#This Row],[Age]]&gt;10, Dataset[[#This Row],[Age]]&lt;=18), "11-18",
    AND(Dataset[[#This Row],[Age]]&gt;18, Dataset[[#This Row],[Age]]&lt;=30), "19-30",
    AND(Dataset[[#This Row],[Age]]&gt;30, Dataset[[#This Row],[Age]]&lt;=60), "31-60",
    Dataset[[#This Row],[Age]]&gt;60, "above 60"
)</f>
        <v>11-18</v>
      </c>
      <c r="D857">
        <v>0</v>
      </c>
      <c r="E857">
        <v>0</v>
      </c>
      <c r="F857">
        <v>1</v>
      </c>
      <c r="G85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57" s="1" t="s">
        <v>45</v>
      </c>
      <c r="I857" s="1" t="s">
        <v>11</v>
      </c>
      <c r="J857" s="1" t="s">
        <v>17</v>
      </c>
      <c r="K857">
        <v>0</v>
      </c>
    </row>
    <row r="858" spans="1:11" x14ac:dyDescent="0.3">
      <c r="A858" s="1" t="s">
        <v>13</v>
      </c>
      <c r="B858">
        <v>54</v>
      </c>
      <c r="C858" t="str" cm="1">
        <f t="array" ref="C858">_xlfn.IFS(
    Dataset[[#This Row],[Age]]&lt;=10, "0-10",
    AND(Dataset[[#This Row],[Age]]&gt;10, Dataset[[#This Row],[Age]]&lt;=18), "11-18",
    AND(Dataset[[#This Row],[Age]]&gt;18, Dataset[[#This Row],[Age]]&lt;=30), "19-30",
    AND(Dataset[[#This Row],[Age]]&gt;30, Dataset[[#This Row],[Age]]&lt;=60), "31-60",
    Dataset[[#This Row],[Age]]&gt;60, "above 60"
)</f>
        <v>31-60</v>
      </c>
      <c r="D858">
        <v>1</v>
      </c>
      <c r="E858">
        <v>1</v>
      </c>
      <c r="F858">
        <v>1</v>
      </c>
      <c r="G85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58" s="1" t="s">
        <v>14</v>
      </c>
      <c r="I858" s="1" t="s">
        <v>15</v>
      </c>
      <c r="J858" s="1" t="s">
        <v>12</v>
      </c>
      <c r="K858">
        <v>1</v>
      </c>
    </row>
    <row r="859" spans="1:11" x14ac:dyDescent="0.3">
      <c r="A859" s="1" t="s">
        <v>13</v>
      </c>
      <c r="B859">
        <v>54</v>
      </c>
      <c r="C859" t="str" cm="1">
        <f t="array" ref="C859">_xlfn.IFS(
    Dataset[[#This Row],[Age]]&lt;=10, "0-10",
    AND(Dataset[[#This Row],[Age]]&gt;10, Dataset[[#This Row],[Age]]&lt;=18), "11-18",
    AND(Dataset[[#This Row],[Age]]&gt;18, Dataset[[#This Row],[Age]]&lt;=30), "19-30",
    AND(Dataset[[#This Row],[Age]]&gt;30, Dataset[[#This Row],[Age]]&lt;=60), "31-60",
    Dataset[[#This Row],[Age]]&gt;60, "above 60"
)</f>
        <v>31-60</v>
      </c>
      <c r="D859">
        <v>1</v>
      </c>
      <c r="E859">
        <v>1</v>
      </c>
      <c r="F859">
        <v>1</v>
      </c>
      <c r="G85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59" s="1" t="s">
        <v>38</v>
      </c>
      <c r="I859" s="1" t="s">
        <v>11</v>
      </c>
      <c r="J859" s="1" t="s">
        <v>22</v>
      </c>
      <c r="K859">
        <v>1</v>
      </c>
    </row>
    <row r="860" spans="1:11" x14ac:dyDescent="0.3">
      <c r="A860" s="1" t="s">
        <v>13</v>
      </c>
      <c r="B860">
        <v>18</v>
      </c>
      <c r="C860" t="str" cm="1">
        <f t="array" ref="C860">_xlfn.IFS(
    Dataset[[#This Row],[Age]]&lt;=10, "0-10",
    AND(Dataset[[#This Row],[Age]]&gt;10, Dataset[[#This Row],[Age]]&lt;=18), "11-18",
    AND(Dataset[[#This Row],[Age]]&gt;18, Dataset[[#This Row],[Age]]&lt;=30), "19-30",
    AND(Dataset[[#This Row],[Age]]&gt;30, Dataset[[#This Row],[Age]]&lt;=60), "31-60",
    Dataset[[#This Row],[Age]]&gt;60, "above 60"
)</f>
        <v>11-18</v>
      </c>
      <c r="D860">
        <v>1</v>
      </c>
      <c r="E860">
        <v>1</v>
      </c>
      <c r="F860">
        <v>1</v>
      </c>
      <c r="G86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60" s="1" t="s">
        <v>10</v>
      </c>
      <c r="I860" s="1" t="s">
        <v>15</v>
      </c>
      <c r="J860" s="1" t="s">
        <v>12</v>
      </c>
      <c r="K860">
        <v>1</v>
      </c>
    </row>
    <row r="861" spans="1:11" x14ac:dyDescent="0.3">
      <c r="A861" s="1" t="s">
        <v>9</v>
      </c>
      <c r="B861">
        <v>19</v>
      </c>
      <c r="C861" t="str" cm="1">
        <f t="array" ref="C861">_xlfn.IFS(
    Dataset[[#This Row],[Age]]&lt;=10, "0-10",
    AND(Dataset[[#This Row],[Age]]&gt;10, Dataset[[#This Row],[Age]]&lt;=18), "11-18",
    AND(Dataset[[#This Row],[Age]]&gt;18, Dataset[[#This Row],[Age]]&lt;=30), "19-30",
    AND(Dataset[[#This Row],[Age]]&gt;30, Dataset[[#This Row],[Age]]&lt;=60), "31-60",
    Dataset[[#This Row],[Age]]&gt;60, "above 60"
)</f>
        <v>19-30</v>
      </c>
      <c r="D861">
        <v>1</v>
      </c>
      <c r="E861">
        <v>1</v>
      </c>
      <c r="F861">
        <v>1</v>
      </c>
      <c r="G86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61" s="1" t="s">
        <v>41</v>
      </c>
      <c r="I861" s="1" t="s">
        <v>11</v>
      </c>
      <c r="J861" s="1" t="s">
        <v>22</v>
      </c>
      <c r="K861">
        <v>1</v>
      </c>
    </row>
    <row r="862" spans="1:11" x14ac:dyDescent="0.3">
      <c r="A862" s="1" t="s">
        <v>9</v>
      </c>
      <c r="B862">
        <v>47</v>
      </c>
      <c r="C862" t="str" cm="1">
        <f t="array" ref="C862">_xlfn.IFS(
    Dataset[[#This Row],[Age]]&lt;=10, "0-10",
    AND(Dataset[[#This Row],[Age]]&gt;10, Dataset[[#This Row],[Age]]&lt;=18), "11-18",
    AND(Dataset[[#This Row],[Age]]&gt;18, Dataset[[#This Row],[Age]]&lt;=30), "19-30",
    AND(Dataset[[#This Row],[Age]]&gt;30, Dataset[[#This Row],[Age]]&lt;=60), "31-60",
    Dataset[[#This Row],[Age]]&gt;60, "above 60"
)</f>
        <v>31-60</v>
      </c>
      <c r="D862">
        <v>0</v>
      </c>
      <c r="E862">
        <v>0</v>
      </c>
      <c r="F862">
        <v>1</v>
      </c>
      <c r="G86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62" s="1" t="s">
        <v>21</v>
      </c>
      <c r="I862" s="1" t="s">
        <v>15</v>
      </c>
      <c r="J862" s="1" t="s">
        <v>22</v>
      </c>
      <c r="K862">
        <v>0</v>
      </c>
    </row>
    <row r="863" spans="1:11" x14ac:dyDescent="0.3">
      <c r="A863" s="1" t="s">
        <v>9</v>
      </c>
      <c r="B863">
        <v>38</v>
      </c>
      <c r="C863" t="str" cm="1">
        <f t="array" ref="C863">_xlfn.IFS(
    Dataset[[#This Row],[Age]]&lt;=10, "0-10",
    AND(Dataset[[#This Row],[Age]]&gt;10, Dataset[[#This Row],[Age]]&lt;=18), "11-18",
    AND(Dataset[[#This Row],[Age]]&gt;18, Dataset[[#This Row],[Age]]&lt;=30), "19-30",
    AND(Dataset[[#This Row],[Age]]&gt;30, Dataset[[#This Row],[Age]]&lt;=60), "31-60",
    Dataset[[#This Row],[Age]]&gt;60, "above 60"
)</f>
        <v>31-60</v>
      </c>
      <c r="D863">
        <v>0</v>
      </c>
      <c r="E863">
        <v>0</v>
      </c>
      <c r="F863">
        <v>1</v>
      </c>
      <c r="G86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63" s="1" t="s">
        <v>21</v>
      </c>
      <c r="I863" s="1" t="s">
        <v>11</v>
      </c>
      <c r="J863" s="1" t="s">
        <v>17</v>
      </c>
      <c r="K863">
        <v>0</v>
      </c>
    </row>
    <row r="864" spans="1:11" x14ac:dyDescent="0.3">
      <c r="A864" s="1" t="s">
        <v>13</v>
      </c>
      <c r="B864">
        <v>20</v>
      </c>
      <c r="C864" t="str" cm="1">
        <f t="array" ref="C864">_xlfn.IFS(
    Dataset[[#This Row],[Age]]&lt;=10, "0-10",
    AND(Dataset[[#This Row],[Age]]&gt;10, Dataset[[#This Row],[Age]]&lt;=18), "11-18",
    AND(Dataset[[#This Row],[Age]]&gt;18, Dataset[[#This Row],[Age]]&lt;=30), "19-30",
    AND(Dataset[[#This Row],[Age]]&gt;30, Dataset[[#This Row],[Age]]&lt;=60), "31-60",
    Dataset[[#This Row],[Age]]&gt;60, "above 60"
)</f>
        <v>19-30</v>
      </c>
      <c r="D864">
        <v>0</v>
      </c>
      <c r="E864">
        <v>0</v>
      </c>
      <c r="F864">
        <v>0</v>
      </c>
      <c r="G86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64" s="1" t="s">
        <v>36</v>
      </c>
      <c r="I864" s="1" t="s">
        <v>15</v>
      </c>
      <c r="J864" s="1" t="s">
        <v>12</v>
      </c>
      <c r="K864">
        <v>0</v>
      </c>
    </row>
    <row r="865" spans="1:11" x14ac:dyDescent="0.3">
      <c r="A865" s="1" t="s">
        <v>13</v>
      </c>
      <c r="B865">
        <v>65</v>
      </c>
      <c r="C865" t="str" cm="1">
        <f t="array" ref="C865">_xlfn.IFS(
    Dataset[[#This Row],[Age]]&lt;=10, "0-10",
    AND(Dataset[[#This Row],[Age]]&gt;10, Dataset[[#This Row],[Age]]&lt;=18), "11-18",
    AND(Dataset[[#This Row],[Age]]&gt;18, Dataset[[#This Row],[Age]]&lt;=30), "19-30",
    AND(Dataset[[#This Row],[Age]]&gt;30, Dataset[[#This Row],[Age]]&lt;=60), "31-60",
    Dataset[[#This Row],[Age]]&gt;60, "above 60"
)</f>
        <v>above 60</v>
      </c>
      <c r="D865">
        <v>1</v>
      </c>
      <c r="E865">
        <v>1</v>
      </c>
      <c r="F865">
        <v>0</v>
      </c>
      <c r="G86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65" s="1" t="s">
        <v>26</v>
      </c>
      <c r="I865" s="1" t="s">
        <v>11</v>
      </c>
      <c r="J865" s="1" t="s">
        <v>22</v>
      </c>
      <c r="K865">
        <v>1</v>
      </c>
    </row>
    <row r="866" spans="1:11" x14ac:dyDescent="0.3">
      <c r="A866" s="1" t="s">
        <v>9</v>
      </c>
      <c r="B866">
        <v>29</v>
      </c>
      <c r="C866" t="str" cm="1">
        <f t="array" ref="C866">_xlfn.IFS(
    Dataset[[#This Row],[Age]]&lt;=10, "0-10",
    AND(Dataset[[#This Row],[Age]]&gt;10, Dataset[[#This Row],[Age]]&lt;=18), "11-18",
    AND(Dataset[[#This Row],[Age]]&gt;18, Dataset[[#This Row],[Age]]&lt;=30), "19-30",
    AND(Dataset[[#This Row],[Age]]&gt;30, Dataset[[#This Row],[Age]]&lt;=60), "31-60",
    Dataset[[#This Row],[Age]]&gt;60, "above 60"
)</f>
        <v>19-30</v>
      </c>
      <c r="D866">
        <v>1</v>
      </c>
      <c r="E866">
        <v>1</v>
      </c>
      <c r="F866">
        <v>0</v>
      </c>
      <c r="G86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66" s="1" t="s">
        <v>37</v>
      </c>
      <c r="I866" s="1" t="s">
        <v>15</v>
      </c>
      <c r="J866" s="1" t="s">
        <v>12</v>
      </c>
      <c r="K866">
        <v>1</v>
      </c>
    </row>
    <row r="867" spans="1:11" x14ac:dyDescent="0.3">
      <c r="A867" s="1" t="s">
        <v>9</v>
      </c>
      <c r="B867">
        <v>8</v>
      </c>
      <c r="C867" t="str" cm="1">
        <f t="array" ref="C867">_xlfn.IFS(
    Dataset[[#This Row],[Age]]&lt;=10, "0-10",
    AND(Dataset[[#This Row],[Age]]&gt;10, Dataset[[#This Row],[Age]]&lt;=18), "11-18",
    AND(Dataset[[#This Row],[Age]]&gt;18, Dataset[[#This Row],[Age]]&lt;=30), "19-30",
    AND(Dataset[[#This Row],[Age]]&gt;30, Dataset[[#This Row],[Age]]&lt;=60), "31-60",
    Dataset[[#This Row],[Age]]&gt;60, "above 60"
)</f>
        <v>0-10</v>
      </c>
      <c r="D867">
        <v>0</v>
      </c>
      <c r="E867">
        <v>0</v>
      </c>
      <c r="F867">
        <v>0</v>
      </c>
      <c r="G86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67" s="1" t="s">
        <v>43</v>
      </c>
      <c r="I867" s="1" t="s">
        <v>11</v>
      </c>
      <c r="J867" s="1" t="s">
        <v>12</v>
      </c>
      <c r="K867">
        <v>0</v>
      </c>
    </row>
    <row r="868" spans="1:11" x14ac:dyDescent="0.3">
      <c r="A868" s="1" t="s">
        <v>9</v>
      </c>
      <c r="B868">
        <v>45</v>
      </c>
      <c r="C868" t="str" cm="1">
        <f t="array" ref="C868">_xlfn.IFS(
    Dataset[[#This Row],[Age]]&lt;=10, "0-10",
    AND(Dataset[[#This Row],[Age]]&gt;10, Dataset[[#This Row],[Age]]&lt;=18), "11-18",
    AND(Dataset[[#This Row],[Age]]&gt;18, Dataset[[#This Row],[Age]]&lt;=30), "19-30",
    AND(Dataset[[#This Row],[Age]]&gt;30, Dataset[[#This Row],[Age]]&lt;=60), "31-60",
    Dataset[[#This Row],[Age]]&gt;60, "above 60"
)</f>
        <v>31-60</v>
      </c>
      <c r="D868">
        <v>1</v>
      </c>
      <c r="E868">
        <v>1</v>
      </c>
      <c r="F868">
        <v>1</v>
      </c>
      <c r="G86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68" s="1" t="s">
        <v>20</v>
      </c>
      <c r="I868" s="1" t="s">
        <v>15</v>
      </c>
      <c r="J868" s="1" t="s">
        <v>12</v>
      </c>
      <c r="K868">
        <v>1</v>
      </c>
    </row>
    <row r="869" spans="1:11" x14ac:dyDescent="0.3">
      <c r="A869" s="1" t="s">
        <v>9</v>
      </c>
      <c r="B869">
        <v>9</v>
      </c>
      <c r="C869" t="str" cm="1">
        <f t="array" ref="C869">_xlfn.IFS(
    Dataset[[#This Row],[Age]]&lt;=10, "0-10",
    AND(Dataset[[#This Row],[Age]]&gt;10, Dataset[[#This Row],[Age]]&lt;=18), "11-18",
    AND(Dataset[[#This Row],[Age]]&gt;18, Dataset[[#This Row],[Age]]&lt;=30), "19-30",
    AND(Dataset[[#This Row],[Age]]&gt;30, Dataset[[#This Row],[Age]]&lt;=60), "31-60",
    Dataset[[#This Row],[Age]]&gt;60, "above 60"
)</f>
        <v>0-10</v>
      </c>
      <c r="D869">
        <v>1</v>
      </c>
      <c r="E869">
        <v>1</v>
      </c>
      <c r="F869">
        <v>0</v>
      </c>
      <c r="G86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69" s="1" t="s">
        <v>39</v>
      </c>
      <c r="I869" s="1" t="s">
        <v>11</v>
      </c>
      <c r="J869" s="1" t="s">
        <v>12</v>
      </c>
      <c r="K869">
        <v>1</v>
      </c>
    </row>
    <row r="870" spans="1:11" x14ac:dyDescent="0.3">
      <c r="A870" s="1" t="s">
        <v>13</v>
      </c>
      <c r="B870">
        <v>27</v>
      </c>
      <c r="C870" t="str" cm="1">
        <f t="array" ref="C870">_xlfn.IFS(
    Dataset[[#This Row],[Age]]&lt;=10, "0-10",
    AND(Dataset[[#This Row],[Age]]&gt;10, Dataset[[#This Row],[Age]]&lt;=18), "11-18",
    AND(Dataset[[#This Row],[Age]]&gt;18, Dataset[[#This Row],[Age]]&lt;=30), "19-30",
    AND(Dataset[[#This Row],[Age]]&gt;30, Dataset[[#This Row],[Age]]&lt;=60), "31-60",
    Dataset[[#This Row],[Age]]&gt;60, "above 60"
)</f>
        <v>19-30</v>
      </c>
      <c r="D870">
        <v>0</v>
      </c>
      <c r="E870">
        <v>0</v>
      </c>
      <c r="F870">
        <v>0</v>
      </c>
      <c r="G87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70" s="1" t="s">
        <v>44</v>
      </c>
      <c r="I870" s="1" t="s">
        <v>15</v>
      </c>
      <c r="J870" s="1" t="s">
        <v>12</v>
      </c>
      <c r="K870">
        <v>0</v>
      </c>
    </row>
    <row r="871" spans="1:11" x14ac:dyDescent="0.3">
      <c r="A871" s="1" t="s">
        <v>13</v>
      </c>
      <c r="B871">
        <v>59</v>
      </c>
      <c r="C871" t="str" cm="1">
        <f t="array" ref="C871">_xlfn.IFS(
    Dataset[[#This Row],[Age]]&lt;=10, "0-10",
    AND(Dataset[[#This Row],[Age]]&gt;10, Dataset[[#This Row],[Age]]&lt;=18), "11-18",
    AND(Dataset[[#This Row],[Age]]&gt;18, Dataset[[#This Row],[Age]]&lt;=30), "19-30",
    AND(Dataset[[#This Row],[Age]]&gt;30, Dataset[[#This Row],[Age]]&lt;=60), "31-60",
    Dataset[[#This Row],[Age]]&gt;60, "above 60"
)</f>
        <v>31-60</v>
      </c>
      <c r="D871">
        <v>1</v>
      </c>
      <c r="E871">
        <v>1</v>
      </c>
      <c r="F871">
        <v>1</v>
      </c>
      <c r="G87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71" s="1" t="s">
        <v>47</v>
      </c>
      <c r="I871" s="1" t="s">
        <v>11</v>
      </c>
      <c r="J871" s="1" t="s">
        <v>17</v>
      </c>
      <c r="K871">
        <v>1</v>
      </c>
    </row>
    <row r="872" spans="1:11" x14ac:dyDescent="0.3">
      <c r="A872" s="1" t="s">
        <v>9</v>
      </c>
      <c r="B872">
        <v>16</v>
      </c>
      <c r="C872" t="str" cm="1">
        <f t="array" ref="C872">_xlfn.IFS(
    Dataset[[#This Row],[Age]]&lt;=10, "0-10",
    AND(Dataset[[#This Row],[Age]]&gt;10, Dataset[[#This Row],[Age]]&lt;=18), "11-18",
    AND(Dataset[[#This Row],[Age]]&gt;18, Dataset[[#This Row],[Age]]&lt;=30), "19-30",
    AND(Dataset[[#This Row],[Age]]&gt;30, Dataset[[#This Row],[Age]]&lt;=60), "31-60",
    Dataset[[#This Row],[Age]]&gt;60, "above 60"
)</f>
        <v>11-18</v>
      </c>
      <c r="D872">
        <v>1</v>
      </c>
      <c r="E872">
        <v>1</v>
      </c>
      <c r="F872">
        <v>0</v>
      </c>
      <c r="G87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72" s="1" t="s">
        <v>16</v>
      </c>
      <c r="I872" s="1" t="s">
        <v>15</v>
      </c>
      <c r="J872" s="1" t="s">
        <v>22</v>
      </c>
      <c r="K872">
        <v>1</v>
      </c>
    </row>
    <row r="873" spans="1:11" x14ac:dyDescent="0.3">
      <c r="A873" s="1" t="s">
        <v>9</v>
      </c>
      <c r="B873">
        <v>8</v>
      </c>
      <c r="C873" t="str" cm="1">
        <f t="array" ref="C873">_xlfn.IFS(
    Dataset[[#This Row],[Age]]&lt;=10, "0-10",
    AND(Dataset[[#This Row],[Age]]&gt;10, Dataset[[#This Row],[Age]]&lt;=18), "11-18",
    AND(Dataset[[#This Row],[Age]]&gt;18, Dataset[[#This Row],[Age]]&lt;=30), "19-30",
    AND(Dataset[[#This Row],[Age]]&gt;30, Dataset[[#This Row],[Age]]&lt;=60), "31-60",
    Dataset[[#This Row],[Age]]&gt;60, "above 60"
)</f>
        <v>0-10</v>
      </c>
      <c r="D873">
        <v>0</v>
      </c>
      <c r="E873">
        <v>0</v>
      </c>
      <c r="F873">
        <v>0</v>
      </c>
      <c r="G87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73" s="1" t="s">
        <v>50</v>
      </c>
      <c r="I873" s="1" t="s">
        <v>11</v>
      </c>
      <c r="J873" s="1" t="s">
        <v>17</v>
      </c>
      <c r="K873">
        <v>0</v>
      </c>
    </row>
    <row r="874" spans="1:11" x14ac:dyDescent="0.3">
      <c r="A874" s="1" t="s">
        <v>9</v>
      </c>
      <c r="B874">
        <v>36</v>
      </c>
      <c r="C874" t="str" cm="1">
        <f t="array" ref="C874">_xlfn.IFS(
    Dataset[[#This Row],[Age]]&lt;=10, "0-10",
    AND(Dataset[[#This Row],[Age]]&gt;10, Dataset[[#This Row],[Age]]&lt;=18), "11-18",
    AND(Dataset[[#This Row],[Age]]&gt;18, Dataset[[#This Row],[Age]]&lt;=30), "19-30",
    AND(Dataset[[#This Row],[Age]]&gt;30, Dataset[[#This Row],[Age]]&lt;=60), "31-60",
    Dataset[[#This Row],[Age]]&gt;60, "above 60"
)</f>
        <v>31-60</v>
      </c>
      <c r="D874">
        <v>1</v>
      </c>
      <c r="E874">
        <v>1</v>
      </c>
      <c r="F874">
        <v>0</v>
      </c>
      <c r="G87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74" s="1" t="s">
        <v>44</v>
      </c>
      <c r="I874" s="1" t="s">
        <v>15</v>
      </c>
      <c r="J874" s="1" t="s">
        <v>22</v>
      </c>
      <c r="K874">
        <v>1</v>
      </c>
    </row>
    <row r="875" spans="1:11" x14ac:dyDescent="0.3">
      <c r="A875" s="1" t="s">
        <v>13</v>
      </c>
      <c r="B875">
        <v>38</v>
      </c>
      <c r="C875" t="str" cm="1">
        <f t="array" ref="C875">_xlfn.IFS(
    Dataset[[#This Row],[Age]]&lt;=10, "0-10",
    AND(Dataset[[#This Row],[Age]]&gt;10, Dataset[[#This Row],[Age]]&lt;=18), "11-18",
    AND(Dataset[[#This Row],[Age]]&gt;18, Dataset[[#This Row],[Age]]&lt;=30), "19-30",
    AND(Dataset[[#This Row],[Age]]&gt;30, Dataset[[#This Row],[Age]]&lt;=60), "31-60",
    Dataset[[#This Row],[Age]]&gt;60, "above 60"
)</f>
        <v>31-60</v>
      </c>
      <c r="D875">
        <v>0</v>
      </c>
      <c r="E875">
        <v>0</v>
      </c>
      <c r="F875">
        <v>1</v>
      </c>
      <c r="G87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75" s="1" t="s">
        <v>35</v>
      </c>
      <c r="I875" s="1" t="s">
        <v>11</v>
      </c>
      <c r="J875" s="1" t="s">
        <v>12</v>
      </c>
      <c r="K875">
        <v>0</v>
      </c>
    </row>
    <row r="876" spans="1:11" x14ac:dyDescent="0.3">
      <c r="A876" s="1" t="s">
        <v>9</v>
      </c>
      <c r="B876">
        <v>56</v>
      </c>
      <c r="C876" t="str" cm="1">
        <f t="array" ref="C876">_xlfn.IFS(
    Dataset[[#This Row],[Age]]&lt;=10, "0-10",
    AND(Dataset[[#This Row],[Age]]&gt;10, Dataset[[#This Row],[Age]]&lt;=18), "11-18",
    AND(Dataset[[#This Row],[Age]]&gt;18, Dataset[[#This Row],[Age]]&lt;=30), "19-30",
    AND(Dataset[[#This Row],[Age]]&gt;30, Dataset[[#This Row],[Age]]&lt;=60), "31-60",
    Dataset[[#This Row],[Age]]&gt;60, "above 60"
)</f>
        <v>31-60</v>
      </c>
      <c r="D876">
        <v>1</v>
      </c>
      <c r="E876">
        <v>1</v>
      </c>
      <c r="F876">
        <v>1</v>
      </c>
      <c r="G87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76" s="1" t="s">
        <v>33</v>
      </c>
      <c r="I876" s="1" t="s">
        <v>15</v>
      </c>
      <c r="J876" s="1" t="s">
        <v>12</v>
      </c>
      <c r="K876">
        <v>1</v>
      </c>
    </row>
    <row r="877" spans="1:11" x14ac:dyDescent="0.3">
      <c r="A877" s="1" t="s">
        <v>13</v>
      </c>
      <c r="B877">
        <v>35</v>
      </c>
      <c r="C877" t="str" cm="1">
        <f t="array" ref="C877">_xlfn.IFS(
    Dataset[[#This Row],[Age]]&lt;=10, "0-10",
    AND(Dataset[[#This Row],[Age]]&gt;10, Dataset[[#This Row],[Age]]&lt;=18), "11-18",
    AND(Dataset[[#This Row],[Age]]&gt;18, Dataset[[#This Row],[Age]]&lt;=30), "19-30",
    AND(Dataset[[#This Row],[Age]]&gt;30, Dataset[[#This Row],[Age]]&lt;=60), "31-60",
    Dataset[[#This Row],[Age]]&gt;60, "above 60"
)</f>
        <v>31-60</v>
      </c>
      <c r="D877">
        <v>1</v>
      </c>
      <c r="E877">
        <v>1</v>
      </c>
      <c r="F877">
        <v>0</v>
      </c>
      <c r="G87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77" s="1" t="s">
        <v>10</v>
      </c>
      <c r="I877" s="1" t="s">
        <v>11</v>
      </c>
      <c r="J877" s="1" t="s">
        <v>17</v>
      </c>
      <c r="K877">
        <v>1</v>
      </c>
    </row>
    <row r="878" spans="1:11" x14ac:dyDescent="0.3">
      <c r="A878" s="1" t="s">
        <v>9</v>
      </c>
      <c r="B878">
        <v>18</v>
      </c>
      <c r="C878" t="str" cm="1">
        <f t="array" ref="C878">_xlfn.IFS(
    Dataset[[#This Row],[Age]]&lt;=10, "0-10",
    AND(Dataset[[#This Row],[Age]]&gt;10, Dataset[[#This Row],[Age]]&lt;=18), "11-18",
    AND(Dataset[[#This Row],[Age]]&gt;18, Dataset[[#This Row],[Age]]&lt;=30), "19-30",
    AND(Dataset[[#This Row],[Age]]&gt;30, Dataset[[#This Row],[Age]]&lt;=60), "31-60",
    Dataset[[#This Row],[Age]]&gt;60, "above 60"
)</f>
        <v>11-18</v>
      </c>
      <c r="D878">
        <v>1</v>
      </c>
      <c r="E878">
        <v>1</v>
      </c>
      <c r="F878">
        <v>0</v>
      </c>
      <c r="G87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78" s="1" t="s">
        <v>46</v>
      </c>
      <c r="I878" s="1" t="s">
        <v>15</v>
      </c>
      <c r="J878" s="1" t="s">
        <v>22</v>
      </c>
      <c r="K878">
        <v>1</v>
      </c>
    </row>
    <row r="879" spans="1:11" x14ac:dyDescent="0.3">
      <c r="A879" s="1" t="s">
        <v>9</v>
      </c>
      <c r="B879">
        <v>13</v>
      </c>
      <c r="C879" t="str" cm="1">
        <f t="array" ref="C879">_xlfn.IFS(
    Dataset[[#This Row],[Age]]&lt;=10, "0-10",
    AND(Dataset[[#This Row],[Age]]&gt;10, Dataset[[#This Row],[Age]]&lt;=18), "11-18",
    AND(Dataset[[#This Row],[Age]]&gt;18, Dataset[[#This Row],[Age]]&lt;=30), "19-30",
    AND(Dataset[[#This Row],[Age]]&gt;30, Dataset[[#This Row],[Age]]&lt;=60), "31-60",
    Dataset[[#This Row],[Age]]&gt;60, "above 60"
)</f>
        <v>11-18</v>
      </c>
      <c r="D879">
        <v>1</v>
      </c>
      <c r="E879">
        <v>1</v>
      </c>
      <c r="F879">
        <v>0</v>
      </c>
      <c r="G87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79" s="1" t="s">
        <v>40</v>
      </c>
      <c r="I879" s="1" t="s">
        <v>11</v>
      </c>
      <c r="J879" s="1" t="s">
        <v>17</v>
      </c>
      <c r="K879">
        <v>1</v>
      </c>
    </row>
    <row r="880" spans="1:11" x14ac:dyDescent="0.3">
      <c r="A880" s="1" t="s">
        <v>13</v>
      </c>
      <c r="B880">
        <v>23</v>
      </c>
      <c r="C880" t="str" cm="1">
        <f t="array" ref="C880">_xlfn.IFS(
    Dataset[[#This Row],[Age]]&lt;=10, "0-10",
    AND(Dataset[[#This Row],[Age]]&gt;10, Dataset[[#This Row],[Age]]&lt;=18), "11-18",
    AND(Dataset[[#This Row],[Age]]&gt;18, Dataset[[#This Row],[Age]]&lt;=30), "19-30",
    AND(Dataset[[#This Row],[Age]]&gt;30, Dataset[[#This Row],[Age]]&lt;=60), "31-60",
    Dataset[[#This Row],[Age]]&gt;60, "above 60"
)</f>
        <v>19-30</v>
      </c>
      <c r="D880">
        <v>0</v>
      </c>
      <c r="E880">
        <v>1</v>
      </c>
      <c r="F880">
        <v>0</v>
      </c>
      <c r="G88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Low Risk</v>
      </c>
      <c r="H880" s="1" t="s">
        <v>26</v>
      </c>
      <c r="I880" s="1" t="s">
        <v>15</v>
      </c>
      <c r="J880" s="1" t="s">
        <v>12</v>
      </c>
      <c r="K880">
        <v>1</v>
      </c>
    </row>
    <row r="881" spans="1:11" x14ac:dyDescent="0.3">
      <c r="A881" s="1" t="s">
        <v>9</v>
      </c>
      <c r="B881">
        <v>14</v>
      </c>
      <c r="C881" t="str" cm="1">
        <f t="array" ref="C881">_xlfn.IFS(
    Dataset[[#This Row],[Age]]&lt;=10, "0-10",
    AND(Dataset[[#This Row],[Age]]&gt;10, Dataset[[#This Row],[Age]]&lt;=18), "11-18",
    AND(Dataset[[#This Row],[Age]]&gt;18, Dataset[[#This Row],[Age]]&lt;=30), "19-30",
    AND(Dataset[[#This Row],[Age]]&gt;30, Dataset[[#This Row],[Age]]&lt;=60), "31-60",
    Dataset[[#This Row],[Age]]&gt;60, "above 60"
)</f>
        <v>11-18</v>
      </c>
      <c r="D881">
        <v>1</v>
      </c>
      <c r="E881">
        <v>1</v>
      </c>
      <c r="F881">
        <v>1</v>
      </c>
      <c r="G88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81" s="1" t="s">
        <v>45</v>
      </c>
      <c r="I881" s="1" t="s">
        <v>11</v>
      </c>
      <c r="J881" s="1" t="s">
        <v>12</v>
      </c>
      <c r="K881">
        <v>1</v>
      </c>
    </row>
    <row r="882" spans="1:11" x14ac:dyDescent="0.3">
      <c r="A882" s="1" t="s">
        <v>9</v>
      </c>
      <c r="B882">
        <v>21</v>
      </c>
      <c r="C882" t="str" cm="1">
        <f t="array" ref="C882">_xlfn.IFS(
    Dataset[[#This Row],[Age]]&lt;=10, "0-10",
    AND(Dataset[[#This Row],[Age]]&gt;10, Dataset[[#This Row],[Age]]&lt;=18), "11-18",
    AND(Dataset[[#This Row],[Age]]&gt;18, Dataset[[#This Row],[Age]]&lt;=30), "19-30",
    AND(Dataset[[#This Row],[Age]]&gt;30, Dataset[[#This Row],[Age]]&lt;=60), "31-60",
    Dataset[[#This Row],[Age]]&gt;60, "above 60"
)</f>
        <v>19-30</v>
      </c>
      <c r="D882">
        <v>1</v>
      </c>
      <c r="E882">
        <v>1</v>
      </c>
      <c r="F882">
        <v>0</v>
      </c>
      <c r="G88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82" s="1" t="s">
        <v>29</v>
      </c>
      <c r="I882" s="1" t="s">
        <v>15</v>
      </c>
      <c r="J882" s="1" t="s">
        <v>17</v>
      </c>
      <c r="K882">
        <v>1</v>
      </c>
    </row>
    <row r="883" spans="1:11" x14ac:dyDescent="0.3">
      <c r="A883" s="1" t="s">
        <v>13</v>
      </c>
      <c r="B883">
        <v>39</v>
      </c>
      <c r="C883" t="str" cm="1">
        <f t="array" ref="C883">_xlfn.IFS(
    Dataset[[#This Row],[Age]]&lt;=10, "0-10",
    AND(Dataset[[#This Row],[Age]]&gt;10, Dataset[[#This Row],[Age]]&lt;=18), "11-18",
    AND(Dataset[[#This Row],[Age]]&gt;18, Dataset[[#This Row],[Age]]&lt;=30), "19-30",
    AND(Dataset[[#This Row],[Age]]&gt;30, Dataset[[#This Row],[Age]]&lt;=60), "31-60",
    Dataset[[#This Row],[Age]]&gt;60, "above 60"
)</f>
        <v>31-60</v>
      </c>
      <c r="D883">
        <v>1</v>
      </c>
      <c r="E883">
        <v>1</v>
      </c>
      <c r="F883">
        <v>1</v>
      </c>
      <c r="G88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83" s="1" t="s">
        <v>42</v>
      </c>
      <c r="I883" s="1" t="s">
        <v>11</v>
      </c>
      <c r="J883" s="1" t="s">
        <v>17</v>
      </c>
      <c r="K883">
        <v>1</v>
      </c>
    </row>
    <row r="884" spans="1:11" x14ac:dyDescent="0.3">
      <c r="A884" s="1" t="s">
        <v>9</v>
      </c>
      <c r="B884">
        <v>39</v>
      </c>
      <c r="C884" t="str" cm="1">
        <f t="array" ref="C884">_xlfn.IFS(
    Dataset[[#This Row],[Age]]&lt;=10, "0-10",
    AND(Dataset[[#This Row],[Age]]&gt;10, Dataset[[#This Row],[Age]]&lt;=18), "11-18",
    AND(Dataset[[#This Row],[Age]]&gt;18, Dataset[[#This Row],[Age]]&lt;=30), "19-30",
    AND(Dataset[[#This Row],[Age]]&gt;30, Dataset[[#This Row],[Age]]&lt;=60), "31-60",
    Dataset[[#This Row],[Age]]&gt;60, "above 60"
)</f>
        <v>31-60</v>
      </c>
      <c r="D884">
        <v>1</v>
      </c>
      <c r="E884">
        <v>1</v>
      </c>
      <c r="F884">
        <v>1</v>
      </c>
      <c r="G88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84" s="1" t="s">
        <v>10</v>
      </c>
      <c r="I884" s="1" t="s">
        <v>15</v>
      </c>
      <c r="J884" s="1" t="s">
        <v>12</v>
      </c>
      <c r="K884">
        <v>1</v>
      </c>
    </row>
    <row r="885" spans="1:11" x14ac:dyDescent="0.3">
      <c r="A885" s="1" t="s">
        <v>13</v>
      </c>
      <c r="B885">
        <v>34</v>
      </c>
      <c r="C885" t="str" cm="1">
        <f t="array" ref="C885">_xlfn.IFS(
    Dataset[[#This Row],[Age]]&lt;=10, "0-10",
    AND(Dataset[[#This Row],[Age]]&gt;10, Dataset[[#This Row],[Age]]&lt;=18), "11-18",
    AND(Dataset[[#This Row],[Age]]&gt;18, Dataset[[#This Row],[Age]]&lt;=30), "19-30",
    AND(Dataset[[#This Row],[Age]]&gt;30, Dataset[[#This Row],[Age]]&lt;=60), "31-60",
    Dataset[[#This Row],[Age]]&gt;60, "above 60"
)</f>
        <v>31-60</v>
      </c>
      <c r="D885">
        <v>0</v>
      </c>
      <c r="E885">
        <v>0</v>
      </c>
      <c r="F885">
        <v>0</v>
      </c>
      <c r="G88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85" s="1" t="s">
        <v>16</v>
      </c>
      <c r="I885" s="1" t="s">
        <v>11</v>
      </c>
      <c r="J885" s="1" t="s">
        <v>17</v>
      </c>
      <c r="K885">
        <v>0</v>
      </c>
    </row>
    <row r="886" spans="1:11" x14ac:dyDescent="0.3">
      <c r="A886" s="1" t="s">
        <v>9</v>
      </c>
      <c r="B886">
        <v>36</v>
      </c>
      <c r="C886" t="str" cm="1">
        <f t="array" ref="C886">_xlfn.IFS(
    Dataset[[#This Row],[Age]]&lt;=10, "0-10",
    AND(Dataset[[#This Row],[Age]]&gt;10, Dataset[[#This Row],[Age]]&lt;=18), "11-18",
    AND(Dataset[[#This Row],[Age]]&gt;18, Dataset[[#This Row],[Age]]&lt;=30), "19-30",
    AND(Dataset[[#This Row],[Age]]&gt;30, Dataset[[#This Row],[Age]]&lt;=60), "31-60",
    Dataset[[#This Row],[Age]]&gt;60, "above 60"
)</f>
        <v>31-60</v>
      </c>
      <c r="D886">
        <v>1</v>
      </c>
      <c r="E886">
        <v>1</v>
      </c>
      <c r="F886">
        <v>1</v>
      </c>
      <c r="G88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86" s="1" t="s">
        <v>35</v>
      </c>
      <c r="I886" s="1" t="s">
        <v>15</v>
      </c>
      <c r="J886" s="1" t="s">
        <v>12</v>
      </c>
      <c r="K886">
        <v>1</v>
      </c>
    </row>
    <row r="887" spans="1:11" x14ac:dyDescent="0.3">
      <c r="A887" s="1" t="s">
        <v>9</v>
      </c>
      <c r="B887">
        <v>43</v>
      </c>
      <c r="C887" t="str" cm="1">
        <f t="array" ref="C887">_xlfn.IFS(
    Dataset[[#This Row],[Age]]&lt;=10, "0-10",
    AND(Dataset[[#This Row],[Age]]&gt;10, Dataset[[#This Row],[Age]]&lt;=18), "11-18",
    AND(Dataset[[#This Row],[Age]]&gt;18, Dataset[[#This Row],[Age]]&lt;=30), "19-30",
    AND(Dataset[[#This Row],[Age]]&gt;30, Dataset[[#This Row],[Age]]&lt;=60), "31-60",
    Dataset[[#This Row],[Age]]&gt;60, "above 60"
)</f>
        <v>31-60</v>
      </c>
      <c r="D887">
        <v>0</v>
      </c>
      <c r="E887">
        <v>1</v>
      </c>
      <c r="F887">
        <v>0</v>
      </c>
      <c r="G88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Low Risk</v>
      </c>
      <c r="H887" s="1" t="s">
        <v>38</v>
      </c>
      <c r="I887" s="1" t="s">
        <v>11</v>
      </c>
      <c r="J887" s="1" t="s">
        <v>22</v>
      </c>
      <c r="K887">
        <v>1</v>
      </c>
    </row>
    <row r="888" spans="1:11" x14ac:dyDescent="0.3">
      <c r="A888" s="1" t="s">
        <v>13</v>
      </c>
      <c r="B888">
        <v>39</v>
      </c>
      <c r="C888" t="str" cm="1">
        <f t="array" ref="C888">_xlfn.IFS(
    Dataset[[#This Row],[Age]]&lt;=10, "0-10",
    AND(Dataset[[#This Row],[Age]]&gt;10, Dataset[[#This Row],[Age]]&lt;=18), "11-18",
    AND(Dataset[[#This Row],[Age]]&gt;18, Dataset[[#This Row],[Age]]&lt;=30), "19-30",
    AND(Dataset[[#This Row],[Age]]&gt;30, Dataset[[#This Row],[Age]]&lt;=60), "31-60",
    Dataset[[#This Row],[Age]]&gt;60, "above 60"
)</f>
        <v>31-60</v>
      </c>
      <c r="D888">
        <v>1</v>
      </c>
      <c r="E888">
        <v>1</v>
      </c>
      <c r="F888">
        <v>1</v>
      </c>
      <c r="G88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88" s="1" t="s">
        <v>34</v>
      </c>
      <c r="I888" s="1" t="s">
        <v>15</v>
      </c>
      <c r="J888" s="1" t="s">
        <v>12</v>
      </c>
      <c r="K888">
        <v>1</v>
      </c>
    </row>
    <row r="889" spans="1:11" x14ac:dyDescent="0.3">
      <c r="A889" s="1" t="s">
        <v>9</v>
      </c>
      <c r="B889">
        <v>53</v>
      </c>
      <c r="C889" t="str" cm="1">
        <f t="array" ref="C889">_xlfn.IFS(
    Dataset[[#This Row],[Age]]&lt;=10, "0-10",
    AND(Dataset[[#This Row],[Age]]&gt;10, Dataset[[#This Row],[Age]]&lt;=18), "11-18",
    AND(Dataset[[#This Row],[Age]]&gt;18, Dataset[[#This Row],[Age]]&lt;=30), "19-30",
    AND(Dataset[[#This Row],[Age]]&gt;30, Dataset[[#This Row],[Age]]&lt;=60), "31-60",
    Dataset[[#This Row],[Age]]&gt;60, "above 60"
)</f>
        <v>31-60</v>
      </c>
      <c r="D889">
        <v>1</v>
      </c>
      <c r="E889">
        <v>1</v>
      </c>
      <c r="F889">
        <v>1</v>
      </c>
      <c r="G88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89" s="1" t="s">
        <v>42</v>
      </c>
      <c r="I889" s="1" t="s">
        <v>11</v>
      </c>
      <c r="J889" s="1" t="s">
        <v>17</v>
      </c>
      <c r="K889">
        <v>1</v>
      </c>
    </row>
    <row r="890" spans="1:11" x14ac:dyDescent="0.3">
      <c r="A890" s="1" t="s">
        <v>13</v>
      </c>
      <c r="B890">
        <v>45</v>
      </c>
      <c r="C890" t="str" cm="1">
        <f t="array" ref="C890">_xlfn.IFS(
    Dataset[[#This Row],[Age]]&lt;=10, "0-10",
    AND(Dataset[[#This Row],[Age]]&gt;10, Dataset[[#This Row],[Age]]&lt;=18), "11-18",
    AND(Dataset[[#This Row],[Age]]&gt;18, Dataset[[#This Row],[Age]]&lt;=30), "19-30",
    AND(Dataset[[#This Row],[Age]]&gt;30, Dataset[[#This Row],[Age]]&lt;=60), "31-60",
    Dataset[[#This Row],[Age]]&gt;60, "above 60"
)</f>
        <v>31-60</v>
      </c>
      <c r="D890">
        <v>1</v>
      </c>
      <c r="E890">
        <v>1</v>
      </c>
      <c r="F890">
        <v>1</v>
      </c>
      <c r="G89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90" s="1" t="s">
        <v>37</v>
      </c>
      <c r="I890" s="1" t="s">
        <v>15</v>
      </c>
      <c r="J890" s="1" t="s">
        <v>22</v>
      </c>
      <c r="K890">
        <v>1</v>
      </c>
    </row>
    <row r="891" spans="1:11" x14ac:dyDescent="0.3">
      <c r="A891" s="1" t="s">
        <v>9</v>
      </c>
      <c r="B891">
        <v>12</v>
      </c>
      <c r="C891" t="str" cm="1">
        <f t="array" ref="C891">_xlfn.IFS(
    Dataset[[#This Row],[Age]]&lt;=10, "0-10",
    AND(Dataset[[#This Row],[Age]]&gt;10, Dataset[[#This Row],[Age]]&lt;=18), "11-18",
    AND(Dataset[[#This Row],[Age]]&gt;18, Dataset[[#This Row],[Age]]&lt;=30), "19-30",
    AND(Dataset[[#This Row],[Age]]&gt;30, Dataset[[#This Row],[Age]]&lt;=60), "31-60",
    Dataset[[#This Row],[Age]]&gt;60, "above 60"
)</f>
        <v>11-18</v>
      </c>
      <c r="D891">
        <v>0</v>
      </c>
      <c r="E891">
        <v>0</v>
      </c>
      <c r="F891">
        <v>1</v>
      </c>
      <c r="G89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91" s="1" t="s">
        <v>34</v>
      </c>
      <c r="I891" s="1" t="s">
        <v>11</v>
      </c>
      <c r="J891" s="1" t="s">
        <v>12</v>
      </c>
      <c r="K891">
        <v>0</v>
      </c>
    </row>
    <row r="892" spans="1:11" x14ac:dyDescent="0.3">
      <c r="A892" s="1" t="s">
        <v>9</v>
      </c>
      <c r="B892">
        <v>28</v>
      </c>
      <c r="C892" t="str" cm="1">
        <f t="array" ref="C892">_xlfn.IFS(
    Dataset[[#This Row],[Age]]&lt;=10, "0-10",
    AND(Dataset[[#This Row],[Age]]&gt;10, Dataset[[#This Row],[Age]]&lt;=18), "11-18",
    AND(Dataset[[#This Row],[Age]]&gt;18, Dataset[[#This Row],[Age]]&lt;=30), "19-30",
    AND(Dataset[[#This Row],[Age]]&gt;30, Dataset[[#This Row],[Age]]&lt;=60), "31-60",
    Dataset[[#This Row],[Age]]&gt;60, "above 60"
)</f>
        <v>19-30</v>
      </c>
      <c r="D892">
        <v>1</v>
      </c>
      <c r="E892">
        <v>1</v>
      </c>
      <c r="F892">
        <v>0</v>
      </c>
      <c r="G89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92" s="1" t="s">
        <v>18</v>
      </c>
      <c r="I892" s="1" t="s">
        <v>15</v>
      </c>
      <c r="J892" s="1" t="s">
        <v>17</v>
      </c>
      <c r="K892">
        <v>1</v>
      </c>
    </row>
    <row r="893" spans="1:11" x14ac:dyDescent="0.3">
      <c r="A893" s="1" t="s">
        <v>13</v>
      </c>
      <c r="B893">
        <v>14</v>
      </c>
      <c r="C893" t="str" cm="1">
        <f t="array" ref="C893">_xlfn.IFS(
    Dataset[[#This Row],[Age]]&lt;=10, "0-10",
    AND(Dataset[[#This Row],[Age]]&gt;10, Dataset[[#This Row],[Age]]&lt;=18), "11-18",
    AND(Dataset[[#This Row],[Age]]&gt;18, Dataset[[#This Row],[Age]]&lt;=30), "19-30",
    AND(Dataset[[#This Row],[Age]]&gt;30, Dataset[[#This Row],[Age]]&lt;=60), "31-60",
    Dataset[[#This Row],[Age]]&gt;60, "above 60"
)</f>
        <v>11-18</v>
      </c>
      <c r="D893">
        <v>1</v>
      </c>
      <c r="E893">
        <v>1</v>
      </c>
      <c r="F893">
        <v>0</v>
      </c>
      <c r="G89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93" s="1" t="s">
        <v>39</v>
      </c>
      <c r="I893" s="1" t="s">
        <v>11</v>
      </c>
      <c r="J893" s="1" t="s">
        <v>12</v>
      </c>
      <c r="K893">
        <v>1</v>
      </c>
    </row>
    <row r="894" spans="1:11" x14ac:dyDescent="0.3">
      <c r="A894" s="1" t="s">
        <v>13</v>
      </c>
      <c r="B894">
        <v>10</v>
      </c>
      <c r="C894" t="str" cm="1">
        <f t="array" ref="C894">_xlfn.IFS(
    Dataset[[#This Row],[Age]]&lt;=10, "0-10",
    AND(Dataset[[#This Row],[Age]]&gt;10, Dataset[[#This Row],[Age]]&lt;=18), "11-18",
    AND(Dataset[[#This Row],[Age]]&gt;18, Dataset[[#This Row],[Age]]&lt;=30), "19-30",
    AND(Dataset[[#This Row],[Age]]&gt;30, Dataset[[#This Row],[Age]]&lt;=60), "31-60",
    Dataset[[#This Row],[Age]]&gt;60, "above 60"
)</f>
        <v>0-10</v>
      </c>
      <c r="D894">
        <v>0</v>
      </c>
      <c r="E894">
        <v>0</v>
      </c>
      <c r="F894">
        <v>0</v>
      </c>
      <c r="G89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94" s="1" t="s">
        <v>50</v>
      </c>
      <c r="I894" s="1" t="s">
        <v>15</v>
      </c>
      <c r="J894" s="1" t="s">
        <v>12</v>
      </c>
      <c r="K894">
        <v>0</v>
      </c>
    </row>
    <row r="895" spans="1:11" x14ac:dyDescent="0.3">
      <c r="A895" s="1" t="s">
        <v>13</v>
      </c>
      <c r="B895">
        <v>64</v>
      </c>
      <c r="C895" t="str" cm="1">
        <f t="array" ref="C895">_xlfn.IFS(
    Dataset[[#This Row],[Age]]&lt;=10, "0-10",
    AND(Dataset[[#This Row],[Age]]&gt;10, Dataset[[#This Row],[Age]]&lt;=18), "11-18",
    AND(Dataset[[#This Row],[Age]]&gt;18, Dataset[[#This Row],[Age]]&lt;=30), "19-30",
    AND(Dataset[[#This Row],[Age]]&gt;30, Dataset[[#This Row],[Age]]&lt;=60), "31-60",
    Dataset[[#This Row],[Age]]&gt;60, "above 60"
)</f>
        <v>above 60</v>
      </c>
      <c r="D895">
        <v>1</v>
      </c>
      <c r="E895">
        <v>1</v>
      </c>
      <c r="F895">
        <v>0</v>
      </c>
      <c r="G89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95" s="1" t="s">
        <v>31</v>
      </c>
      <c r="I895" s="1" t="s">
        <v>11</v>
      </c>
      <c r="J895" s="1" t="s">
        <v>17</v>
      </c>
      <c r="K895">
        <v>1</v>
      </c>
    </row>
    <row r="896" spans="1:11" x14ac:dyDescent="0.3">
      <c r="A896" s="1" t="s">
        <v>13</v>
      </c>
      <c r="B896">
        <v>8</v>
      </c>
      <c r="C896" t="str" cm="1">
        <f t="array" ref="C896">_xlfn.IFS(
    Dataset[[#This Row],[Age]]&lt;=10, "0-10",
    AND(Dataset[[#This Row],[Age]]&gt;10, Dataset[[#This Row],[Age]]&lt;=18), "11-18",
    AND(Dataset[[#This Row],[Age]]&gt;18, Dataset[[#This Row],[Age]]&lt;=30), "19-30",
    AND(Dataset[[#This Row],[Age]]&gt;30, Dataset[[#This Row],[Age]]&lt;=60), "31-60",
    Dataset[[#This Row],[Age]]&gt;60, "above 60"
)</f>
        <v>0-10</v>
      </c>
      <c r="D896">
        <v>1</v>
      </c>
      <c r="E896">
        <v>1</v>
      </c>
      <c r="F896">
        <v>0</v>
      </c>
      <c r="G89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96" s="1" t="s">
        <v>31</v>
      </c>
      <c r="I896" s="1" t="s">
        <v>15</v>
      </c>
      <c r="J896" s="1" t="s">
        <v>22</v>
      </c>
      <c r="K896">
        <v>1</v>
      </c>
    </row>
    <row r="897" spans="1:11" x14ac:dyDescent="0.3">
      <c r="A897" s="1" t="s">
        <v>9</v>
      </c>
      <c r="B897">
        <v>43</v>
      </c>
      <c r="C897" t="str" cm="1">
        <f t="array" ref="C897">_xlfn.IFS(
    Dataset[[#This Row],[Age]]&lt;=10, "0-10",
    AND(Dataset[[#This Row],[Age]]&gt;10, Dataset[[#This Row],[Age]]&lt;=18), "11-18",
    AND(Dataset[[#This Row],[Age]]&gt;18, Dataset[[#This Row],[Age]]&lt;=30), "19-30",
    AND(Dataset[[#This Row],[Age]]&gt;30, Dataset[[#This Row],[Age]]&lt;=60), "31-60",
    Dataset[[#This Row],[Age]]&gt;60, "above 60"
)</f>
        <v>31-60</v>
      </c>
      <c r="D897">
        <v>0</v>
      </c>
      <c r="E897">
        <v>0</v>
      </c>
      <c r="F897">
        <v>1</v>
      </c>
      <c r="G89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97" s="1" t="s">
        <v>39</v>
      </c>
      <c r="I897" s="1" t="s">
        <v>11</v>
      </c>
      <c r="J897" s="1" t="s">
        <v>17</v>
      </c>
      <c r="K897">
        <v>0</v>
      </c>
    </row>
    <row r="898" spans="1:11" x14ac:dyDescent="0.3">
      <c r="A898" s="1" t="s">
        <v>13</v>
      </c>
      <c r="B898">
        <v>16</v>
      </c>
      <c r="C898" t="str" cm="1">
        <f t="array" ref="C898">_xlfn.IFS(
    Dataset[[#This Row],[Age]]&lt;=10, "0-10",
    AND(Dataset[[#This Row],[Age]]&gt;10, Dataset[[#This Row],[Age]]&lt;=18), "11-18",
    AND(Dataset[[#This Row],[Age]]&gt;18, Dataset[[#This Row],[Age]]&lt;=30), "19-30",
    AND(Dataset[[#This Row],[Age]]&gt;30, Dataset[[#This Row],[Age]]&lt;=60), "31-60",
    Dataset[[#This Row],[Age]]&gt;60, "above 60"
)</f>
        <v>11-18</v>
      </c>
      <c r="D898">
        <v>0</v>
      </c>
      <c r="E898">
        <v>0</v>
      </c>
      <c r="F898">
        <v>0</v>
      </c>
      <c r="G89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898" s="1" t="s">
        <v>41</v>
      </c>
      <c r="I898" s="1" t="s">
        <v>15</v>
      </c>
      <c r="J898" s="1" t="s">
        <v>12</v>
      </c>
      <c r="K898">
        <v>0</v>
      </c>
    </row>
    <row r="899" spans="1:11" x14ac:dyDescent="0.3">
      <c r="A899" s="1" t="s">
        <v>9</v>
      </c>
      <c r="B899">
        <v>62</v>
      </c>
      <c r="C899" t="str" cm="1">
        <f t="array" ref="C899">_xlfn.IFS(
    Dataset[[#This Row],[Age]]&lt;=10, "0-10",
    AND(Dataset[[#This Row],[Age]]&gt;10, Dataset[[#This Row],[Age]]&lt;=18), "11-18",
    AND(Dataset[[#This Row],[Age]]&gt;18, Dataset[[#This Row],[Age]]&lt;=30), "19-30",
    AND(Dataset[[#This Row],[Age]]&gt;30, Dataset[[#This Row],[Age]]&lt;=60), "31-60",
    Dataset[[#This Row],[Age]]&gt;60, "above 60"
)</f>
        <v>above 60</v>
      </c>
      <c r="D899">
        <v>1</v>
      </c>
      <c r="E899">
        <v>1</v>
      </c>
      <c r="F899">
        <v>1</v>
      </c>
      <c r="G89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899" s="1" t="s">
        <v>29</v>
      </c>
      <c r="I899" s="1" t="s">
        <v>11</v>
      </c>
      <c r="J899" s="1" t="s">
        <v>22</v>
      </c>
      <c r="K899">
        <v>1</v>
      </c>
    </row>
    <row r="900" spans="1:11" x14ac:dyDescent="0.3">
      <c r="A900" s="1" t="s">
        <v>9</v>
      </c>
      <c r="B900">
        <v>35</v>
      </c>
      <c r="C900" t="str" cm="1">
        <f t="array" ref="C900">_xlfn.IFS(
    Dataset[[#This Row],[Age]]&lt;=10, "0-10",
    AND(Dataset[[#This Row],[Age]]&gt;10, Dataset[[#This Row],[Age]]&lt;=18), "11-18",
    AND(Dataset[[#This Row],[Age]]&gt;18, Dataset[[#This Row],[Age]]&lt;=30), "19-30",
    AND(Dataset[[#This Row],[Age]]&gt;30, Dataset[[#This Row],[Age]]&lt;=60), "31-60",
    Dataset[[#This Row],[Age]]&gt;60, "above 60"
)</f>
        <v>31-60</v>
      </c>
      <c r="D900">
        <v>0</v>
      </c>
      <c r="E900">
        <v>0</v>
      </c>
      <c r="F900">
        <v>0</v>
      </c>
      <c r="G90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00" s="1" t="s">
        <v>32</v>
      </c>
      <c r="I900" s="1" t="s">
        <v>15</v>
      </c>
      <c r="J900" s="1" t="s">
        <v>12</v>
      </c>
      <c r="K900">
        <v>0</v>
      </c>
    </row>
    <row r="901" spans="1:11" x14ac:dyDescent="0.3">
      <c r="A901" s="1" t="s">
        <v>13</v>
      </c>
      <c r="B901">
        <v>36</v>
      </c>
      <c r="C901" t="str" cm="1">
        <f t="array" ref="C901">_xlfn.IFS(
    Dataset[[#This Row],[Age]]&lt;=10, "0-10",
    AND(Dataset[[#This Row],[Age]]&gt;10, Dataset[[#This Row],[Age]]&lt;=18), "11-18",
    AND(Dataset[[#This Row],[Age]]&gt;18, Dataset[[#This Row],[Age]]&lt;=30), "19-30",
    AND(Dataset[[#This Row],[Age]]&gt;30, Dataset[[#This Row],[Age]]&lt;=60), "31-60",
    Dataset[[#This Row],[Age]]&gt;60, "above 60"
)</f>
        <v>31-60</v>
      </c>
      <c r="D901">
        <v>0</v>
      </c>
      <c r="E901">
        <v>0</v>
      </c>
      <c r="F901">
        <v>0</v>
      </c>
      <c r="G90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01" s="1" t="s">
        <v>14</v>
      </c>
      <c r="I901" s="1" t="s">
        <v>11</v>
      </c>
      <c r="J901" s="1" t="s">
        <v>17</v>
      </c>
      <c r="K901">
        <v>0</v>
      </c>
    </row>
    <row r="902" spans="1:11" x14ac:dyDescent="0.3">
      <c r="A902" s="1" t="s">
        <v>9</v>
      </c>
      <c r="B902">
        <v>15</v>
      </c>
      <c r="C902" t="str" cm="1">
        <f t="array" ref="C902">_xlfn.IFS(
    Dataset[[#This Row],[Age]]&lt;=10, "0-10",
    AND(Dataset[[#This Row],[Age]]&gt;10, Dataset[[#This Row],[Age]]&lt;=18), "11-18",
    AND(Dataset[[#This Row],[Age]]&gt;18, Dataset[[#This Row],[Age]]&lt;=30), "19-30",
    AND(Dataset[[#This Row],[Age]]&gt;30, Dataset[[#This Row],[Age]]&lt;=60), "31-60",
    Dataset[[#This Row],[Age]]&gt;60, "above 60"
)</f>
        <v>11-18</v>
      </c>
      <c r="D902">
        <v>1</v>
      </c>
      <c r="E902">
        <v>1</v>
      </c>
      <c r="F902">
        <v>0</v>
      </c>
      <c r="G90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02" s="1" t="s">
        <v>27</v>
      </c>
      <c r="I902" s="1" t="s">
        <v>15</v>
      </c>
      <c r="J902" s="1" t="s">
        <v>12</v>
      </c>
      <c r="K902">
        <v>1</v>
      </c>
    </row>
    <row r="903" spans="1:11" x14ac:dyDescent="0.3">
      <c r="A903" s="1" t="s">
        <v>9</v>
      </c>
      <c r="B903">
        <v>11</v>
      </c>
      <c r="C903" t="str" cm="1">
        <f t="array" ref="C903">_xlfn.IFS(
    Dataset[[#This Row],[Age]]&lt;=10, "0-10",
    AND(Dataset[[#This Row],[Age]]&gt;10, Dataset[[#This Row],[Age]]&lt;=18), "11-18",
    AND(Dataset[[#This Row],[Age]]&gt;18, Dataset[[#This Row],[Age]]&lt;=30), "19-30",
    AND(Dataset[[#This Row],[Age]]&gt;30, Dataset[[#This Row],[Age]]&lt;=60), "31-60",
    Dataset[[#This Row],[Age]]&gt;60, "above 60"
)</f>
        <v>11-18</v>
      </c>
      <c r="D903">
        <v>1</v>
      </c>
      <c r="E903">
        <v>1</v>
      </c>
      <c r="F903">
        <v>0</v>
      </c>
      <c r="G90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03" s="1" t="s">
        <v>31</v>
      </c>
      <c r="I903" s="1" t="s">
        <v>11</v>
      </c>
      <c r="J903" s="1" t="s">
        <v>12</v>
      </c>
      <c r="K903">
        <v>1</v>
      </c>
    </row>
    <row r="904" spans="1:11" x14ac:dyDescent="0.3">
      <c r="A904" s="1" t="s">
        <v>13</v>
      </c>
      <c r="B904">
        <v>27</v>
      </c>
      <c r="C904" t="str" cm="1">
        <f t="array" ref="C904">_xlfn.IFS(
    Dataset[[#This Row],[Age]]&lt;=10, "0-10",
    AND(Dataset[[#This Row],[Age]]&gt;10, Dataset[[#This Row],[Age]]&lt;=18), "11-18",
    AND(Dataset[[#This Row],[Age]]&gt;18, Dataset[[#This Row],[Age]]&lt;=30), "19-30",
    AND(Dataset[[#This Row],[Age]]&gt;30, Dataset[[#This Row],[Age]]&lt;=60), "31-60",
    Dataset[[#This Row],[Age]]&gt;60, "above 60"
)</f>
        <v>19-30</v>
      </c>
      <c r="D904">
        <v>1</v>
      </c>
      <c r="E904">
        <v>1</v>
      </c>
      <c r="F904">
        <v>0</v>
      </c>
      <c r="G90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04" s="1" t="s">
        <v>39</v>
      </c>
      <c r="I904" s="1" t="s">
        <v>15</v>
      </c>
      <c r="J904" s="1" t="s">
        <v>17</v>
      </c>
      <c r="K904">
        <v>1</v>
      </c>
    </row>
    <row r="905" spans="1:11" x14ac:dyDescent="0.3">
      <c r="A905" s="1" t="s">
        <v>13</v>
      </c>
      <c r="B905">
        <v>20</v>
      </c>
      <c r="C905" t="str" cm="1">
        <f t="array" ref="C905">_xlfn.IFS(
    Dataset[[#This Row],[Age]]&lt;=10, "0-10",
    AND(Dataset[[#This Row],[Age]]&gt;10, Dataset[[#This Row],[Age]]&lt;=18), "11-18",
    AND(Dataset[[#This Row],[Age]]&gt;18, Dataset[[#This Row],[Age]]&lt;=30), "19-30",
    AND(Dataset[[#This Row],[Age]]&gt;30, Dataset[[#This Row],[Age]]&lt;=60), "31-60",
    Dataset[[#This Row],[Age]]&gt;60, "above 60"
)</f>
        <v>19-30</v>
      </c>
      <c r="D905">
        <v>0</v>
      </c>
      <c r="E905">
        <v>0</v>
      </c>
      <c r="F905">
        <v>0</v>
      </c>
      <c r="G90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05" s="1" t="s">
        <v>27</v>
      </c>
      <c r="I905" s="1" t="s">
        <v>11</v>
      </c>
      <c r="J905" s="1" t="s">
        <v>17</v>
      </c>
      <c r="K905">
        <v>0</v>
      </c>
    </row>
    <row r="906" spans="1:11" x14ac:dyDescent="0.3">
      <c r="A906" s="1" t="s">
        <v>13</v>
      </c>
      <c r="B906">
        <v>28</v>
      </c>
      <c r="C906" t="str" cm="1">
        <f t="array" ref="C906">_xlfn.IFS(
    Dataset[[#This Row],[Age]]&lt;=10, "0-10",
    AND(Dataset[[#This Row],[Age]]&gt;10, Dataset[[#This Row],[Age]]&lt;=18), "11-18",
    AND(Dataset[[#This Row],[Age]]&gt;18, Dataset[[#This Row],[Age]]&lt;=30), "19-30",
    AND(Dataset[[#This Row],[Age]]&gt;30, Dataset[[#This Row],[Age]]&lt;=60), "31-60",
    Dataset[[#This Row],[Age]]&gt;60, "above 60"
)</f>
        <v>19-30</v>
      </c>
      <c r="D906">
        <v>1</v>
      </c>
      <c r="E906">
        <v>1</v>
      </c>
      <c r="F906">
        <v>0</v>
      </c>
      <c r="G90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06" s="1" t="s">
        <v>28</v>
      </c>
      <c r="I906" s="1" t="s">
        <v>15</v>
      </c>
      <c r="J906" s="1" t="s">
        <v>22</v>
      </c>
      <c r="K906">
        <v>1</v>
      </c>
    </row>
    <row r="907" spans="1:11" x14ac:dyDescent="0.3">
      <c r="A907" s="1" t="s">
        <v>13</v>
      </c>
      <c r="B907">
        <v>60</v>
      </c>
      <c r="C907" t="str" cm="1">
        <f t="array" ref="C907">_xlfn.IFS(
    Dataset[[#This Row],[Age]]&lt;=10, "0-10",
    AND(Dataset[[#This Row],[Age]]&gt;10, Dataset[[#This Row],[Age]]&lt;=18), "11-18",
    AND(Dataset[[#This Row],[Age]]&gt;18, Dataset[[#This Row],[Age]]&lt;=30), "19-30",
    AND(Dataset[[#This Row],[Age]]&gt;30, Dataset[[#This Row],[Age]]&lt;=60), "31-60",
    Dataset[[#This Row],[Age]]&gt;60, "above 60"
)</f>
        <v>31-60</v>
      </c>
      <c r="D907">
        <v>1</v>
      </c>
      <c r="E907">
        <v>1</v>
      </c>
      <c r="F907">
        <v>0</v>
      </c>
      <c r="G90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07" s="1" t="s">
        <v>14</v>
      </c>
      <c r="I907" s="1" t="s">
        <v>11</v>
      </c>
      <c r="J907" s="1" t="s">
        <v>17</v>
      </c>
      <c r="K907">
        <v>1</v>
      </c>
    </row>
    <row r="908" spans="1:11" x14ac:dyDescent="0.3">
      <c r="A908" s="1" t="s">
        <v>13</v>
      </c>
      <c r="B908">
        <v>10</v>
      </c>
      <c r="C908" t="str" cm="1">
        <f t="array" ref="C908">_xlfn.IFS(
    Dataset[[#This Row],[Age]]&lt;=10, "0-10",
    AND(Dataset[[#This Row],[Age]]&gt;10, Dataset[[#This Row],[Age]]&lt;=18), "11-18",
    AND(Dataset[[#This Row],[Age]]&gt;18, Dataset[[#This Row],[Age]]&lt;=30), "19-30",
    AND(Dataset[[#This Row],[Age]]&gt;30, Dataset[[#This Row],[Age]]&lt;=60), "31-60",
    Dataset[[#This Row],[Age]]&gt;60, "above 60"
)</f>
        <v>0-10</v>
      </c>
      <c r="D908">
        <v>1</v>
      </c>
      <c r="E908">
        <v>1</v>
      </c>
      <c r="F908">
        <v>1</v>
      </c>
      <c r="G90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08" s="1" t="s">
        <v>46</v>
      </c>
      <c r="I908" s="1" t="s">
        <v>15</v>
      </c>
      <c r="J908" s="1" t="s">
        <v>17</v>
      </c>
      <c r="K908">
        <v>1</v>
      </c>
    </row>
    <row r="909" spans="1:11" x14ac:dyDescent="0.3">
      <c r="A909" s="1" t="s">
        <v>9</v>
      </c>
      <c r="B909">
        <v>39</v>
      </c>
      <c r="C909" t="str" cm="1">
        <f t="array" ref="C909">_xlfn.IFS(
    Dataset[[#This Row],[Age]]&lt;=10, "0-10",
    AND(Dataset[[#This Row],[Age]]&gt;10, Dataset[[#This Row],[Age]]&lt;=18), "11-18",
    AND(Dataset[[#This Row],[Age]]&gt;18, Dataset[[#This Row],[Age]]&lt;=30), "19-30",
    AND(Dataset[[#This Row],[Age]]&gt;30, Dataset[[#This Row],[Age]]&lt;=60), "31-60",
    Dataset[[#This Row],[Age]]&gt;60, "above 60"
)</f>
        <v>31-60</v>
      </c>
      <c r="D909">
        <v>0</v>
      </c>
      <c r="E909">
        <v>0</v>
      </c>
      <c r="F909">
        <v>1</v>
      </c>
      <c r="G90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09" s="1" t="s">
        <v>45</v>
      </c>
      <c r="I909" s="1" t="s">
        <v>11</v>
      </c>
      <c r="J909" s="1" t="s">
        <v>22</v>
      </c>
      <c r="K909">
        <v>0</v>
      </c>
    </row>
    <row r="910" spans="1:11" x14ac:dyDescent="0.3">
      <c r="A910" s="1" t="s">
        <v>13</v>
      </c>
      <c r="B910">
        <v>52</v>
      </c>
      <c r="C910" t="str" cm="1">
        <f t="array" ref="C910">_xlfn.IFS(
    Dataset[[#This Row],[Age]]&lt;=10, "0-10",
    AND(Dataset[[#This Row],[Age]]&gt;10, Dataset[[#This Row],[Age]]&lt;=18), "11-18",
    AND(Dataset[[#This Row],[Age]]&gt;18, Dataset[[#This Row],[Age]]&lt;=30), "19-30",
    AND(Dataset[[#This Row],[Age]]&gt;30, Dataset[[#This Row],[Age]]&lt;=60), "31-60",
    Dataset[[#This Row],[Age]]&gt;60, "above 60"
)</f>
        <v>31-60</v>
      </c>
      <c r="D910">
        <v>0</v>
      </c>
      <c r="E910">
        <v>0</v>
      </c>
      <c r="F910">
        <v>1</v>
      </c>
      <c r="G91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10" s="1" t="s">
        <v>50</v>
      </c>
      <c r="I910" s="1" t="s">
        <v>15</v>
      </c>
      <c r="J910" s="1" t="s">
        <v>22</v>
      </c>
      <c r="K910">
        <v>0</v>
      </c>
    </row>
    <row r="911" spans="1:11" x14ac:dyDescent="0.3">
      <c r="A911" s="1" t="s">
        <v>9</v>
      </c>
      <c r="B911">
        <v>36</v>
      </c>
      <c r="C911" t="str" cm="1">
        <f t="array" ref="C911">_xlfn.IFS(
    Dataset[[#This Row],[Age]]&lt;=10, "0-10",
    AND(Dataset[[#This Row],[Age]]&gt;10, Dataset[[#This Row],[Age]]&lt;=18), "11-18",
    AND(Dataset[[#This Row],[Age]]&gt;18, Dataset[[#This Row],[Age]]&lt;=30), "19-30",
    AND(Dataset[[#This Row],[Age]]&gt;30, Dataset[[#This Row],[Age]]&lt;=60), "31-60",
    Dataset[[#This Row],[Age]]&gt;60, "above 60"
)</f>
        <v>31-60</v>
      </c>
      <c r="D911">
        <v>1</v>
      </c>
      <c r="E911">
        <v>1</v>
      </c>
      <c r="F911">
        <v>0</v>
      </c>
      <c r="G91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11" s="1" t="s">
        <v>46</v>
      </c>
      <c r="I911" s="1" t="s">
        <v>11</v>
      </c>
      <c r="J911" s="1" t="s">
        <v>22</v>
      </c>
      <c r="K911">
        <v>1</v>
      </c>
    </row>
    <row r="912" spans="1:11" x14ac:dyDescent="0.3">
      <c r="A912" s="1" t="s">
        <v>9</v>
      </c>
      <c r="B912">
        <v>39</v>
      </c>
      <c r="C912" t="str" cm="1">
        <f t="array" ref="C912">_xlfn.IFS(
    Dataset[[#This Row],[Age]]&lt;=10, "0-10",
    AND(Dataset[[#This Row],[Age]]&gt;10, Dataset[[#This Row],[Age]]&lt;=18), "11-18",
    AND(Dataset[[#This Row],[Age]]&gt;18, Dataset[[#This Row],[Age]]&lt;=30), "19-30",
    AND(Dataset[[#This Row],[Age]]&gt;30, Dataset[[#This Row],[Age]]&lt;=60), "31-60",
    Dataset[[#This Row],[Age]]&gt;60, "above 60"
)</f>
        <v>31-60</v>
      </c>
      <c r="D912">
        <v>0</v>
      </c>
      <c r="E912">
        <v>0</v>
      </c>
      <c r="F912">
        <v>0</v>
      </c>
      <c r="G91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12" s="1" t="s">
        <v>49</v>
      </c>
      <c r="I912" s="1" t="s">
        <v>15</v>
      </c>
      <c r="J912" s="1" t="s">
        <v>12</v>
      </c>
      <c r="K912">
        <v>0</v>
      </c>
    </row>
    <row r="913" spans="1:11" x14ac:dyDescent="0.3">
      <c r="A913" s="1" t="s">
        <v>13</v>
      </c>
      <c r="B913">
        <v>13</v>
      </c>
      <c r="C913" t="str" cm="1">
        <f t="array" ref="C913">_xlfn.IFS(
    Dataset[[#This Row],[Age]]&lt;=10, "0-10",
    AND(Dataset[[#This Row],[Age]]&gt;10, Dataset[[#This Row],[Age]]&lt;=18), "11-18",
    AND(Dataset[[#This Row],[Age]]&gt;18, Dataset[[#This Row],[Age]]&lt;=30), "19-30",
    AND(Dataset[[#This Row],[Age]]&gt;30, Dataset[[#This Row],[Age]]&lt;=60), "31-60",
    Dataset[[#This Row],[Age]]&gt;60, "above 60"
)</f>
        <v>11-18</v>
      </c>
      <c r="D913">
        <v>0</v>
      </c>
      <c r="E913">
        <v>0</v>
      </c>
      <c r="F913">
        <v>1</v>
      </c>
      <c r="G91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13" s="1" t="s">
        <v>43</v>
      </c>
      <c r="I913" s="1" t="s">
        <v>11</v>
      </c>
      <c r="J913" s="1" t="s">
        <v>17</v>
      </c>
      <c r="K913">
        <v>0</v>
      </c>
    </row>
    <row r="914" spans="1:11" x14ac:dyDescent="0.3">
      <c r="A914" s="1" t="s">
        <v>9</v>
      </c>
      <c r="B914">
        <v>42</v>
      </c>
      <c r="C914" t="str" cm="1">
        <f t="array" ref="C914">_xlfn.IFS(
    Dataset[[#This Row],[Age]]&lt;=10, "0-10",
    AND(Dataset[[#This Row],[Age]]&gt;10, Dataset[[#This Row],[Age]]&lt;=18), "11-18",
    AND(Dataset[[#This Row],[Age]]&gt;18, Dataset[[#This Row],[Age]]&lt;=30), "19-30",
    AND(Dataset[[#This Row],[Age]]&gt;30, Dataset[[#This Row],[Age]]&lt;=60), "31-60",
    Dataset[[#This Row],[Age]]&gt;60, "above 60"
)</f>
        <v>31-60</v>
      </c>
      <c r="D914">
        <v>0</v>
      </c>
      <c r="E914">
        <v>0</v>
      </c>
      <c r="F914">
        <v>0</v>
      </c>
      <c r="G91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14" s="1" t="s">
        <v>10</v>
      </c>
      <c r="I914" s="1" t="s">
        <v>15</v>
      </c>
      <c r="J914" s="1" t="s">
        <v>22</v>
      </c>
      <c r="K914">
        <v>0</v>
      </c>
    </row>
    <row r="915" spans="1:11" x14ac:dyDescent="0.3">
      <c r="A915" s="1" t="s">
        <v>13</v>
      </c>
      <c r="B915">
        <v>30</v>
      </c>
      <c r="C915" t="str" cm="1">
        <f t="array" ref="C915">_xlfn.IFS(
    Dataset[[#This Row],[Age]]&lt;=10, "0-10",
    AND(Dataset[[#This Row],[Age]]&gt;10, Dataset[[#This Row],[Age]]&lt;=18), "11-18",
    AND(Dataset[[#This Row],[Age]]&gt;18, Dataset[[#This Row],[Age]]&lt;=30), "19-30",
    AND(Dataset[[#This Row],[Age]]&gt;30, Dataset[[#This Row],[Age]]&lt;=60), "31-60",
    Dataset[[#This Row],[Age]]&gt;60, "above 60"
)</f>
        <v>19-30</v>
      </c>
      <c r="D915">
        <v>1</v>
      </c>
      <c r="E915">
        <v>1</v>
      </c>
      <c r="F915">
        <v>1</v>
      </c>
      <c r="G91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15" s="1" t="s">
        <v>42</v>
      </c>
      <c r="I915" s="1" t="s">
        <v>11</v>
      </c>
      <c r="J915" s="1" t="s">
        <v>12</v>
      </c>
      <c r="K915">
        <v>1</v>
      </c>
    </row>
    <row r="916" spans="1:11" x14ac:dyDescent="0.3">
      <c r="A916" s="1" t="s">
        <v>13</v>
      </c>
      <c r="B916">
        <v>33</v>
      </c>
      <c r="C916" t="str" cm="1">
        <f t="array" ref="C916">_xlfn.IFS(
    Dataset[[#This Row],[Age]]&lt;=10, "0-10",
    AND(Dataset[[#This Row],[Age]]&gt;10, Dataset[[#This Row],[Age]]&lt;=18), "11-18",
    AND(Dataset[[#This Row],[Age]]&gt;18, Dataset[[#This Row],[Age]]&lt;=30), "19-30",
    AND(Dataset[[#This Row],[Age]]&gt;30, Dataset[[#This Row],[Age]]&lt;=60), "31-60",
    Dataset[[#This Row],[Age]]&gt;60, "above 60"
)</f>
        <v>31-60</v>
      </c>
      <c r="D916">
        <v>0</v>
      </c>
      <c r="E916">
        <v>0</v>
      </c>
      <c r="F916">
        <v>0</v>
      </c>
      <c r="G91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16" s="1" t="s">
        <v>39</v>
      </c>
      <c r="I916" s="1" t="s">
        <v>15</v>
      </c>
      <c r="J916" s="1" t="s">
        <v>22</v>
      </c>
      <c r="K916">
        <v>0</v>
      </c>
    </row>
    <row r="917" spans="1:11" x14ac:dyDescent="0.3">
      <c r="A917" s="1" t="s">
        <v>9</v>
      </c>
      <c r="B917">
        <v>61</v>
      </c>
      <c r="C917" t="str" cm="1">
        <f t="array" ref="C917">_xlfn.IFS(
    Dataset[[#This Row],[Age]]&lt;=10, "0-10",
    AND(Dataset[[#This Row],[Age]]&gt;10, Dataset[[#This Row],[Age]]&lt;=18), "11-18",
    AND(Dataset[[#This Row],[Age]]&gt;18, Dataset[[#This Row],[Age]]&lt;=30), "19-30",
    AND(Dataset[[#This Row],[Age]]&gt;30, Dataset[[#This Row],[Age]]&lt;=60), "31-60",
    Dataset[[#This Row],[Age]]&gt;60, "above 60"
)</f>
        <v>above 60</v>
      </c>
      <c r="D917">
        <v>1</v>
      </c>
      <c r="E917">
        <v>1</v>
      </c>
      <c r="F917">
        <v>1</v>
      </c>
      <c r="G91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17" s="1" t="s">
        <v>34</v>
      </c>
      <c r="I917" s="1" t="s">
        <v>11</v>
      </c>
      <c r="J917" s="1" t="s">
        <v>12</v>
      </c>
      <c r="K917">
        <v>1</v>
      </c>
    </row>
    <row r="918" spans="1:11" x14ac:dyDescent="0.3">
      <c r="A918" s="1" t="s">
        <v>9</v>
      </c>
      <c r="B918">
        <v>47</v>
      </c>
      <c r="C918" t="str" cm="1">
        <f t="array" ref="C918">_xlfn.IFS(
    Dataset[[#This Row],[Age]]&lt;=10, "0-10",
    AND(Dataset[[#This Row],[Age]]&gt;10, Dataset[[#This Row],[Age]]&lt;=18), "11-18",
    AND(Dataset[[#This Row],[Age]]&gt;18, Dataset[[#This Row],[Age]]&lt;=30), "19-30",
    AND(Dataset[[#This Row],[Age]]&gt;30, Dataset[[#This Row],[Age]]&lt;=60), "31-60",
    Dataset[[#This Row],[Age]]&gt;60, "above 60"
)</f>
        <v>31-60</v>
      </c>
      <c r="D918">
        <v>1</v>
      </c>
      <c r="E918">
        <v>1</v>
      </c>
      <c r="F918">
        <v>1</v>
      </c>
      <c r="G91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18" s="1" t="s">
        <v>21</v>
      </c>
      <c r="I918" s="1" t="s">
        <v>15</v>
      </c>
      <c r="J918" s="1" t="s">
        <v>12</v>
      </c>
      <c r="K918">
        <v>1</v>
      </c>
    </row>
    <row r="919" spans="1:11" x14ac:dyDescent="0.3">
      <c r="A919" s="1" t="s">
        <v>9</v>
      </c>
      <c r="B919">
        <v>52</v>
      </c>
      <c r="C919" t="str" cm="1">
        <f t="array" ref="C919">_xlfn.IFS(
    Dataset[[#This Row],[Age]]&lt;=10, "0-10",
    AND(Dataset[[#This Row],[Age]]&gt;10, Dataset[[#This Row],[Age]]&lt;=18), "11-18",
    AND(Dataset[[#This Row],[Age]]&gt;18, Dataset[[#This Row],[Age]]&lt;=30), "19-30",
    AND(Dataset[[#This Row],[Age]]&gt;30, Dataset[[#This Row],[Age]]&lt;=60), "31-60",
    Dataset[[#This Row],[Age]]&gt;60, "above 60"
)</f>
        <v>31-60</v>
      </c>
      <c r="D919">
        <v>0</v>
      </c>
      <c r="E919">
        <v>0</v>
      </c>
      <c r="F919">
        <v>1</v>
      </c>
      <c r="G91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19" s="1" t="s">
        <v>45</v>
      </c>
      <c r="I919" s="1" t="s">
        <v>11</v>
      </c>
      <c r="J919" s="1" t="s">
        <v>17</v>
      </c>
      <c r="K919">
        <v>0</v>
      </c>
    </row>
    <row r="920" spans="1:11" x14ac:dyDescent="0.3">
      <c r="A920" s="1" t="s">
        <v>9</v>
      </c>
      <c r="B920">
        <v>29</v>
      </c>
      <c r="C920" t="str" cm="1">
        <f t="array" ref="C920">_xlfn.IFS(
    Dataset[[#This Row],[Age]]&lt;=10, "0-10",
    AND(Dataset[[#This Row],[Age]]&gt;10, Dataset[[#This Row],[Age]]&lt;=18), "11-18",
    AND(Dataset[[#This Row],[Age]]&gt;18, Dataset[[#This Row],[Age]]&lt;=30), "19-30",
    AND(Dataset[[#This Row],[Age]]&gt;30, Dataset[[#This Row],[Age]]&lt;=60), "31-60",
    Dataset[[#This Row],[Age]]&gt;60, "above 60"
)</f>
        <v>19-30</v>
      </c>
      <c r="D920">
        <v>0</v>
      </c>
      <c r="E920">
        <v>0</v>
      </c>
      <c r="F920">
        <v>0</v>
      </c>
      <c r="G92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20" s="1" t="s">
        <v>43</v>
      </c>
      <c r="I920" s="1" t="s">
        <v>11</v>
      </c>
      <c r="J920" s="1" t="s">
        <v>12</v>
      </c>
      <c r="K920">
        <v>0</v>
      </c>
    </row>
    <row r="921" spans="1:11" x14ac:dyDescent="0.3">
      <c r="A921" s="1" t="s">
        <v>9</v>
      </c>
      <c r="B921">
        <v>50</v>
      </c>
      <c r="C921" t="str" cm="1">
        <f t="array" ref="C921">_xlfn.IFS(
    Dataset[[#This Row],[Age]]&lt;=10, "0-10",
    AND(Dataset[[#This Row],[Age]]&gt;10, Dataset[[#This Row],[Age]]&lt;=18), "11-18",
    AND(Dataset[[#This Row],[Age]]&gt;18, Dataset[[#This Row],[Age]]&lt;=30), "19-30",
    AND(Dataset[[#This Row],[Age]]&gt;30, Dataset[[#This Row],[Age]]&lt;=60), "31-60",
    Dataset[[#This Row],[Age]]&gt;60, "above 60"
)</f>
        <v>31-60</v>
      </c>
      <c r="D921">
        <v>1</v>
      </c>
      <c r="E921">
        <v>1</v>
      </c>
      <c r="F921">
        <v>1</v>
      </c>
      <c r="G92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21" s="1" t="s">
        <v>37</v>
      </c>
      <c r="I921" s="1" t="s">
        <v>15</v>
      </c>
      <c r="J921" s="1" t="s">
        <v>22</v>
      </c>
      <c r="K921">
        <v>1</v>
      </c>
    </row>
    <row r="922" spans="1:11" x14ac:dyDescent="0.3">
      <c r="A922" s="1" t="s">
        <v>9</v>
      </c>
      <c r="B922">
        <v>56</v>
      </c>
      <c r="C922" t="str" cm="1">
        <f t="array" ref="C922">_xlfn.IFS(
    Dataset[[#This Row],[Age]]&lt;=10, "0-10",
    AND(Dataset[[#This Row],[Age]]&gt;10, Dataset[[#This Row],[Age]]&lt;=18), "11-18",
    AND(Dataset[[#This Row],[Age]]&gt;18, Dataset[[#This Row],[Age]]&lt;=30), "19-30",
    AND(Dataset[[#This Row],[Age]]&gt;30, Dataset[[#This Row],[Age]]&lt;=60), "31-60",
    Dataset[[#This Row],[Age]]&gt;60, "above 60"
)</f>
        <v>31-60</v>
      </c>
      <c r="D922">
        <v>1</v>
      </c>
      <c r="E922">
        <v>1</v>
      </c>
      <c r="F922">
        <v>0</v>
      </c>
      <c r="G92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22" s="1" t="s">
        <v>43</v>
      </c>
      <c r="I922" s="1" t="s">
        <v>11</v>
      </c>
      <c r="J922" s="1" t="s">
        <v>12</v>
      </c>
      <c r="K922">
        <v>1</v>
      </c>
    </row>
    <row r="923" spans="1:11" x14ac:dyDescent="0.3">
      <c r="A923" s="1" t="s">
        <v>13</v>
      </c>
      <c r="B923">
        <v>55</v>
      </c>
      <c r="C923" t="str" cm="1">
        <f t="array" ref="C923">_xlfn.IFS(
    Dataset[[#This Row],[Age]]&lt;=10, "0-10",
    AND(Dataset[[#This Row],[Age]]&gt;10, Dataset[[#This Row],[Age]]&lt;=18), "11-18",
    AND(Dataset[[#This Row],[Age]]&gt;18, Dataset[[#This Row],[Age]]&lt;=30), "19-30",
    AND(Dataset[[#This Row],[Age]]&gt;30, Dataset[[#This Row],[Age]]&lt;=60), "31-60",
    Dataset[[#This Row],[Age]]&gt;60, "above 60"
)</f>
        <v>31-60</v>
      </c>
      <c r="D923">
        <v>1</v>
      </c>
      <c r="E923">
        <v>1</v>
      </c>
      <c r="F923">
        <v>0</v>
      </c>
      <c r="G92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23" s="1" t="s">
        <v>40</v>
      </c>
      <c r="I923" s="1" t="s">
        <v>15</v>
      </c>
      <c r="J923" s="1" t="s">
        <v>12</v>
      </c>
      <c r="K923">
        <v>1</v>
      </c>
    </row>
    <row r="924" spans="1:11" x14ac:dyDescent="0.3">
      <c r="A924" s="1" t="s">
        <v>9</v>
      </c>
      <c r="B924">
        <v>44</v>
      </c>
      <c r="C924" t="str" cm="1">
        <f t="array" ref="C924">_xlfn.IFS(
    Dataset[[#This Row],[Age]]&lt;=10, "0-10",
    AND(Dataset[[#This Row],[Age]]&gt;10, Dataset[[#This Row],[Age]]&lt;=18), "11-18",
    AND(Dataset[[#This Row],[Age]]&gt;18, Dataset[[#This Row],[Age]]&lt;=30), "19-30",
    AND(Dataset[[#This Row],[Age]]&gt;30, Dataset[[#This Row],[Age]]&lt;=60), "31-60",
    Dataset[[#This Row],[Age]]&gt;60, "above 60"
)</f>
        <v>31-60</v>
      </c>
      <c r="D924">
        <v>1</v>
      </c>
      <c r="E924">
        <v>1</v>
      </c>
      <c r="F924">
        <v>1</v>
      </c>
      <c r="G92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24" s="1" t="s">
        <v>32</v>
      </c>
      <c r="I924" s="1" t="s">
        <v>11</v>
      </c>
      <c r="J924" s="1" t="s">
        <v>12</v>
      </c>
      <c r="K924">
        <v>1</v>
      </c>
    </row>
    <row r="925" spans="1:11" x14ac:dyDescent="0.3">
      <c r="A925" s="1" t="s">
        <v>13</v>
      </c>
      <c r="B925">
        <v>37</v>
      </c>
      <c r="C925" t="str" cm="1">
        <f t="array" ref="C925">_xlfn.IFS(
    Dataset[[#This Row],[Age]]&lt;=10, "0-10",
    AND(Dataset[[#This Row],[Age]]&gt;10, Dataset[[#This Row],[Age]]&lt;=18), "11-18",
    AND(Dataset[[#This Row],[Age]]&gt;18, Dataset[[#This Row],[Age]]&lt;=30), "19-30",
    AND(Dataset[[#This Row],[Age]]&gt;30, Dataset[[#This Row],[Age]]&lt;=60), "31-60",
    Dataset[[#This Row],[Age]]&gt;60, "above 60"
)</f>
        <v>31-60</v>
      </c>
      <c r="D925">
        <v>0</v>
      </c>
      <c r="E925">
        <v>0</v>
      </c>
      <c r="F925">
        <v>0</v>
      </c>
      <c r="G92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25" s="1" t="s">
        <v>32</v>
      </c>
      <c r="I925" s="1" t="s">
        <v>15</v>
      </c>
      <c r="J925" s="1" t="s">
        <v>22</v>
      </c>
      <c r="K925">
        <v>0</v>
      </c>
    </row>
    <row r="926" spans="1:11" x14ac:dyDescent="0.3">
      <c r="A926" s="1" t="s">
        <v>9</v>
      </c>
      <c r="B926">
        <v>42</v>
      </c>
      <c r="C926" t="str" cm="1">
        <f t="array" ref="C926">_xlfn.IFS(
    Dataset[[#This Row],[Age]]&lt;=10, "0-10",
    AND(Dataset[[#This Row],[Age]]&gt;10, Dataset[[#This Row],[Age]]&lt;=18), "11-18",
    AND(Dataset[[#This Row],[Age]]&gt;18, Dataset[[#This Row],[Age]]&lt;=30), "19-30",
    AND(Dataset[[#This Row],[Age]]&gt;30, Dataset[[#This Row],[Age]]&lt;=60), "31-60",
    Dataset[[#This Row],[Age]]&gt;60, "above 60"
)</f>
        <v>31-60</v>
      </c>
      <c r="D926">
        <v>0</v>
      </c>
      <c r="E926">
        <v>0</v>
      </c>
      <c r="F926">
        <v>1</v>
      </c>
      <c r="G92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26" s="1" t="s">
        <v>43</v>
      </c>
      <c r="I926" s="1" t="s">
        <v>11</v>
      </c>
      <c r="J926" s="1" t="s">
        <v>22</v>
      </c>
      <c r="K926">
        <v>0</v>
      </c>
    </row>
    <row r="927" spans="1:11" x14ac:dyDescent="0.3">
      <c r="A927" s="1" t="s">
        <v>13</v>
      </c>
      <c r="B927">
        <v>8</v>
      </c>
      <c r="C927" t="str" cm="1">
        <f t="array" ref="C927">_xlfn.IFS(
    Dataset[[#This Row],[Age]]&lt;=10, "0-10",
    AND(Dataset[[#This Row],[Age]]&gt;10, Dataset[[#This Row],[Age]]&lt;=18), "11-18",
    AND(Dataset[[#This Row],[Age]]&gt;18, Dataset[[#This Row],[Age]]&lt;=30), "19-30",
    AND(Dataset[[#This Row],[Age]]&gt;30, Dataset[[#This Row],[Age]]&lt;=60), "31-60",
    Dataset[[#This Row],[Age]]&gt;60, "above 60"
)</f>
        <v>0-10</v>
      </c>
      <c r="D927">
        <v>0</v>
      </c>
      <c r="E927">
        <v>0</v>
      </c>
      <c r="F927">
        <v>1</v>
      </c>
      <c r="G92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27" s="1" t="s">
        <v>21</v>
      </c>
      <c r="I927" s="1" t="s">
        <v>15</v>
      </c>
      <c r="J927" s="1" t="s">
        <v>12</v>
      </c>
      <c r="K927">
        <v>0</v>
      </c>
    </row>
    <row r="928" spans="1:11" x14ac:dyDescent="0.3">
      <c r="A928" s="1" t="s">
        <v>13</v>
      </c>
      <c r="B928">
        <v>40</v>
      </c>
      <c r="C928" t="str" cm="1">
        <f t="array" ref="C928">_xlfn.IFS(
    Dataset[[#This Row],[Age]]&lt;=10, "0-10",
    AND(Dataset[[#This Row],[Age]]&gt;10, Dataset[[#This Row],[Age]]&lt;=18), "11-18",
    AND(Dataset[[#This Row],[Age]]&gt;18, Dataset[[#This Row],[Age]]&lt;=30), "19-30",
    AND(Dataset[[#This Row],[Age]]&gt;30, Dataset[[#This Row],[Age]]&lt;=60), "31-60",
    Dataset[[#This Row],[Age]]&gt;60, "above 60"
)</f>
        <v>31-60</v>
      </c>
      <c r="D928">
        <v>0</v>
      </c>
      <c r="E928">
        <v>0</v>
      </c>
      <c r="F928">
        <v>0</v>
      </c>
      <c r="G92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28" s="1" t="s">
        <v>33</v>
      </c>
      <c r="I928" s="1" t="s">
        <v>11</v>
      </c>
      <c r="J928" s="1" t="s">
        <v>22</v>
      </c>
      <c r="K928">
        <v>0</v>
      </c>
    </row>
    <row r="929" spans="1:11" x14ac:dyDescent="0.3">
      <c r="A929" s="1" t="s">
        <v>13</v>
      </c>
      <c r="B929">
        <v>56</v>
      </c>
      <c r="C929" t="str" cm="1">
        <f t="array" ref="C929">_xlfn.IFS(
    Dataset[[#This Row],[Age]]&lt;=10, "0-10",
    AND(Dataset[[#This Row],[Age]]&gt;10, Dataset[[#This Row],[Age]]&lt;=18), "11-18",
    AND(Dataset[[#This Row],[Age]]&gt;18, Dataset[[#This Row],[Age]]&lt;=30), "19-30",
    AND(Dataset[[#This Row],[Age]]&gt;30, Dataset[[#This Row],[Age]]&lt;=60), "31-60",
    Dataset[[#This Row],[Age]]&gt;60, "above 60"
)</f>
        <v>31-60</v>
      </c>
      <c r="D929">
        <v>0</v>
      </c>
      <c r="E929">
        <v>0</v>
      </c>
      <c r="F929">
        <v>1</v>
      </c>
      <c r="G92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29" s="1" t="s">
        <v>20</v>
      </c>
      <c r="I929" s="1" t="s">
        <v>15</v>
      </c>
      <c r="J929" s="1" t="s">
        <v>22</v>
      </c>
      <c r="K929">
        <v>0</v>
      </c>
    </row>
    <row r="930" spans="1:11" x14ac:dyDescent="0.3">
      <c r="A930" s="1" t="s">
        <v>13</v>
      </c>
      <c r="B930">
        <v>60</v>
      </c>
      <c r="C930" t="str" cm="1">
        <f t="array" ref="C930">_xlfn.IFS(
    Dataset[[#This Row],[Age]]&lt;=10, "0-10",
    AND(Dataset[[#This Row],[Age]]&gt;10, Dataset[[#This Row],[Age]]&lt;=18), "11-18",
    AND(Dataset[[#This Row],[Age]]&gt;18, Dataset[[#This Row],[Age]]&lt;=30), "19-30",
    AND(Dataset[[#This Row],[Age]]&gt;30, Dataset[[#This Row],[Age]]&lt;=60), "31-60",
    Dataset[[#This Row],[Age]]&gt;60, "above 60"
)</f>
        <v>31-60</v>
      </c>
      <c r="D930">
        <v>0</v>
      </c>
      <c r="E930">
        <v>0</v>
      </c>
      <c r="F930">
        <v>1</v>
      </c>
      <c r="G93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30" s="1" t="s">
        <v>31</v>
      </c>
      <c r="I930" s="1" t="s">
        <v>11</v>
      </c>
      <c r="J930" s="1" t="s">
        <v>12</v>
      </c>
      <c r="K930">
        <v>0</v>
      </c>
    </row>
    <row r="931" spans="1:11" x14ac:dyDescent="0.3">
      <c r="A931" s="1" t="s">
        <v>13</v>
      </c>
      <c r="B931">
        <v>26</v>
      </c>
      <c r="C931" t="str" cm="1">
        <f t="array" ref="C931">_xlfn.IFS(
    Dataset[[#This Row],[Age]]&lt;=10, "0-10",
    AND(Dataset[[#This Row],[Age]]&gt;10, Dataset[[#This Row],[Age]]&lt;=18), "11-18",
    AND(Dataset[[#This Row],[Age]]&gt;18, Dataset[[#This Row],[Age]]&lt;=30), "19-30",
    AND(Dataset[[#This Row],[Age]]&gt;30, Dataset[[#This Row],[Age]]&lt;=60), "31-60",
    Dataset[[#This Row],[Age]]&gt;60, "above 60"
)</f>
        <v>19-30</v>
      </c>
      <c r="D931">
        <v>0</v>
      </c>
      <c r="E931">
        <v>0</v>
      </c>
      <c r="F931">
        <v>0</v>
      </c>
      <c r="G93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31" s="1" t="s">
        <v>18</v>
      </c>
      <c r="I931" s="1" t="s">
        <v>15</v>
      </c>
      <c r="J931" s="1" t="s">
        <v>22</v>
      </c>
      <c r="K931">
        <v>0</v>
      </c>
    </row>
    <row r="932" spans="1:11" x14ac:dyDescent="0.3">
      <c r="A932" s="1" t="s">
        <v>9</v>
      </c>
      <c r="B932">
        <v>65</v>
      </c>
      <c r="C932" t="str" cm="1">
        <f t="array" ref="C932">_xlfn.IFS(
    Dataset[[#This Row],[Age]]&lt;=10, "0-10",
    AND(Dataset[[#This Row],[Age]]&gt;10, Dataset[[#This Row],[Age]]&lt;=18), "11-18",
    AND(Dataset[[#This Row],[Age]]&gt;18, Dataset[[#This Row],[Age]]&lt;=30), "19-30",
    AND(Dataset[[#This Row],[Age]]&gt;30, Dataset[[#This Row],[Age]]&lt;=60), "31-60",
    Dataset[[#This Row],[Age]]&gt;60, "above 60"
)</f>
        <v>above 60</v>
      </c>
      <c r="D932">
        <v>1</v>
      </c>
      <c r="E932">
        <v>1</v>
      </c>
      <c r="F932">
        <v>0</v>
      </c>
      <c r="G93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32" s="1" t="s">
        <v>26</v>
      </c>
      <c r="I932" s="1" t="s">
        <v>11</v>
      </c>
      <c r="J932" s="1" t="s">
        <v>12</v>
      </c>
      <c r="K932">
        <v>1</v>
      </c>
    </row>
    <row r="933" spans="1:11" x14ac:dyDescent="0.3">
      <c r="A933" s="1" t="s">
        <v>9</v>
      </c>
      <c r="B933">
        <v>33</v>
      </c>
      <c r="C933" t="str" cm="1">
        <f t="array" ref="C933">_xlfn.IFS(
    Dataset[[#This Row],[Age]]&lt;=10, "0-10",
    AND(Dataset[[#This Row],[Age]]&gt;10, Dataset[[#This Row],[Age]]&lt;=18), "11-18",
    AND(Dataset[[#This Row],[Age]]&gt;18, Dataset[[#This Row],[Age]]&lt;=30), "19-30",
    AND(Dataset[[#This Row],[Age]]&gt;30, Dataset[[#This Row],[Age]]&lt;=60), "31-60",
    Dataset[[#This Row],[Age]]&gt;60, "above 60"
)</f>
        <v>31-60</v>
      </c>
      <c r="D933">
        <v>1</v>
      </c>
      <c r="E933">
        <v>1</v>
      </c>
      <c r="F933">
        <v>1</v>
      </c>
      <c r="G93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33" s="1" t="s">
        <v>46</v>
      </c>
      <c r="I933" s="1" t="s">
        <v>15</v>
      </c>
      <c r="J933" s="1" t="s">
        <v>12</v>
      </c>
      <c r="K933">
        <v>1</v>
      </c>
    </row>
    <row r="934" spans="1:11" x14ac:dyDescent="0.3">
      <c r="A934" s="1" t="s">
        <v>9</v>
      </c>
      <c r="B934">
        <v>20</v>
      </c>
      <c r="C934" t="str" cm="1">
        <f t="array" ref="C934">_xlfn.IFS(
    Dataset[[#This Row],[Age]]&lt;=10, "0-10",
    AND(Dataset[[#This Row],[Age]]&gt;10, Dataset[[#This Row],[Age]]&lt;=18), "11-18",
    AND(Dataset[[#This Row],[Age]]&gt;18, Dataset[[#This Row],[Age]]&lt;=30), "19-30",
    AND(Dataset[[#This Row],[Age]]&gt;30, Dataset[[#This Row],[Age]]&lt;=60), "31-60",
    Dataset[[#This Row],[Age]]&gt;60, "above 60"
)</f>
        <v>19-30</v>
      </c>
      <c r="D934">
        <v>0</v>
      </c>
      <c r="E934">
        <v>0</v>
      </c>
      <c r="F934">
        <v>0</v>
      </c>
      <c r="G93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34" s="1" t="s">
        <v>50</v>
      </c>
      <c r="I934" s="1" t="s">
        <v>11</v>
      </c>
      <c r="J934" s="1" t="s">
        <v>17</v>
      </c>
      <c r="K934">
        <v>0</v>
      </c>
    </row>
    <row r="935" spans="1:11" x14ac:dyDescent="0.3">
      <c r="A935" s="1" t="s">
        <v>13</v>
      </c>
      <c r="B935">
        <v>20</v>
      </c>
      <c r="C935" t="str" cm="1">
        <f t="array" ref="C935">_xlfn.IFS(
    Dataset[[#This Row],[Age]]&lt;=10, "0-10",
    AND(Dataset[[#This Row],[Age]]&gt;10, Dataset[[#This Row],[Age]]&lt;=18), "11-18",
    AND(Dataset[[#This Row],[Age]]&gt;18, Dataset[[#This Row],[Age]]&lt;=30), "19-30",
    AND(Dataset[[#This Row],[Age]]&gt;30, Dataset[[#This Row],[Age]]&lt;=60), "31-60",
    Dataset[[#This Row],[Age]]&gt;60, "above 60"
)</f>
        <v>19-30</v>
      </c>
      <c r="D935">
        <v>0</v>
      </c>
      <c r="E935">
        <v>0</v>
      </c>
      <c r="F935">
        <v>0</v>
      </c>
      <c r="G93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35" s="1" t="s">
        <v>44</v>
      </c>
      <c r="I935" s="1" t="s">
        <v>15</v>
      </c>
      <c r="J935" s="1" t="s">
        <v>17</v>
      </c>
      <c r="K935">
        <v>0</v>
      </c>
    </row>
    <row r="936" spans="1:11" x14ac:dyDescent="0.3">
      <c r="A936" s="1" t="s">
        <v>9</v>
      </c>
      <c r="B936">
        <v>54</v>
      </c>
      <c r="C936" t="str" cm="1">
        <f t="array" ref="C936">_xlfn.IFS(
    Dataset[[#This Row],[Age]]&lt;=10, "0-10",
    AND(Dataset[[#This Row],[Age]]&gt;10, Dataset[[#This Row],[Age]]&lt;=18), "11-18",
    AND(Dataset[[#This Row],[Age]]&gt;18, Dataset[[#This Row],[Age]]&lt;=30), "19-30",
    AND(Dataset[[#This Row],[Age]]&gt;30, Dataset[[#This Row],[Age]]&lt;=60), "31-60",
    Dataset[[#This Row],[Age]]&gt;60, "above 60"
)</f>
        <v>31-60</v>
      </c>
      <c r="D936">
        <v>1</v>
      </c>
      <c r="E936">
        <v>1</v>
      </c>
      <c r="F936">
        <v>0</v>
      </c>
      <c r="G93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36" s="1" t="s">
        <v>48</v>
      </c>
      <c r="I936" s="1" t="s">
        <v>11</v>
      </c>
      <c r="J936" s="1" t="s">
        <v>12</v>
      </c>
      <c r="K936">
        <v>1</v>
      </c>
    </row>
    <row r="937" spans="1:11" x14ac:dyDescent="0.3">
      <c r="A937" s="1" t="s">
        <v>13</v>
      </c>
      <c r="B937">
        <v>22</v>
      </c>
      <c r="C937" t="str" cm="1">
        <f t="array" ref="C937">_xlfn.IFS(
    Dataset[[#This Row],[Age]]&lt;=10, "0-10",
    AND(Dataset[[#This Row],[Age]]&gt;10, Dataset[[#This Row],[Age]]&lt;=18), "11-18",
    AND(Dataset[[#This Row],[Age]]&gt;18, Dataset[[#This Row],[Age]]&lt;=30), "19-30",
    AND(Dataset[[#This Row],[Age]]&gt;30, Dataset[[#This Row],[Age]]&lt;=60), "31-60",
    Dataset[[#This Row],[Age]]&gt;60, "above 60"
)</f>
        <v>19-30</v>
      </c>
      <c r="D937">
        <v>1</v>
      </c>
      <c r="E937">
        <v>1</v>
      </c>
      <c r="F937">
        <v>1</v>
      </c>
      <c r="G93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37" s="1" t="s">
        <v>43</v>
      </c>
      <c r="I937" s="1" t="s">
        <v>15</v>
      </c>
      <c r="J937" s="1" t="s">
        <v>22</v>
      </c>
      <c r="K937">
        <v>1</v>
      </c>
    </row>
    <row r="938" spans="1:11" x14ac:dyDescent="0.3">
      <c r="A938" s="1" t="s">
        <v>9</v>
      </c>
      <c r="B938">
        <v>16</v>
      </c>
      <c r="C938" t="str" cm="1">
        <f t="array" ref="C938">_xlfn.IFS(
    Dataset[[#This Row],[Age]]&lt;=10, "0-10",
    AND(Dataset[[#This Row],[Age]]&gt;10, Dataset[[#This Row],[Age]]&lt;=18), "11-18",
    AND(Dataset[[#This Row],[Age]]&gt;18, Dataset[[#This Row],[Age]]&lt;=30), "19-30",
    AND(Dataset[[#This Row],[Age]]&gt;30, Dataset[[#This Row],[Age]]&lt;=60), "31-60",
    Dataset[[#This Row],[Age]]&gt;60, "above 60"
)</f>
        <v>11-18</v>
      </c>
      <c r="D938">
        <v>0</v>
      </c>
      <c r="E938">
        <v>0</v>
      </c>
      <c r="F938">
        <v>0</v>
      </c>
      <c r="G93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38" s="1" t="s">
        <v>16</v>
      </c>
      <c r="I938" s="1" t="s">
        <v>11</v>
      </c>
      <c r="J938" s="1" t="s">
        <v>22</v>
      </c>
      <c r="K938">
        <v>0</v>
      </c>
    </row>
    <row r="939" spans="1:11" x14ac:dyDescent="0.3">
      <c r="A939" s="1" t="s">
        <v>9</v>
      </c>
      <c r="B939">
        <v>37</v>
      </c>
      <c r="C939" t="str" cm="1">
        <f t="array" ref="C939">_xlfn.IFS(
    Dataset[[#This Row],[Age]]&lt;=10, "0-10",
    AND(Dataset[[#This Row],[Age]]&gt;10, Dataset[[#This Row],[Age]]&lt;=18), "11-18",
    AND(Dataset[[#This Row],[Age]]&gt;18, Dataset[[#This Row],[Age]]&lt;=30), "19-30",
    AND(Dataset[[#This Row],[Age]]&gt;30, Dataset[[#This Row],[Age]]&lt;=60), "31-60",
    Dataset[[#This Row],[Age]]&gt;60, "above 60"
)</f>
        <v>31-60</v>
      </c>
      <c r="D939">
        <v>0</v>
      </c>
      <c r="E939">
        <v>0</v>
      </c>
      <c r="F939">
        <v>0</v>
      </c>
      <c r="G93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39" s="1" t="s">
        <v>50</v>
      </c>
      <c r="I939" s="1" t="s">
        <v>15</v>
      </c>
      <c r="J939" s="1" t="s">
        <v>12</v>
      </c>
      <c r="K939">
        <v>0</v>
      </c>
    </row>
    <row r="940" spans="1:11" x14ac:dyDescent="0.3">
      <c r="A940" s="1" t="s">
        <v>9</v>
      </c>
      <c r="B940">
        <v>26</v>
      </c>
      <c r="C940" t="str" cm="1">
        <f t="array" ref="C940">_xlfn.IFS(
    Dataset[[#This Row],[Age]]&lt;=10, "0-10",
    AND(Dataset[[#This Row],[Age]]&gt;10, Dataset[[#This Row],[Age]]&lt;=18), "11-18",
    AND(Dataset[[#This Row],[Age]]&gt;18, Dataset[[#This Row],[Age]]&lt;=30), "19-30",
    AND(Dataset[[#This Row],[Age]]&gt;30, Dataset[[#This Row],[Age]]&lt;=60), "31-60",
    Dataset[[#This Row],[Age]]&gt;60, "above 60"
)</f>
        <v>19-30</v>
      </c>
      <c r="D940">
        <v>0</v>
      </c>
      <c r="E940">
        <v>0</v>
      </c>
      <c r="F940">
        <v>1</v>
      </c>
      <c r="G94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40" s="1" t="s">
        <v>42</v>
      </c>
      <c r="I940" s="1" t="s">
        <v>11</v>
      </c>
      <c r="J940" s="1" t="s">
        <v>22</v>
      </c>
      <c r="K940">
        <v>0</v>
      </c>
    </row>
    <row r="941" spans="1:11" x14ac:dyDescent="0.3">
      <c r="A941" s="1" t="s">
        <v>9</v>
      </c>
      <c r="B941">
        <v>27</v>
      </c>
      <c r="C941" t="str" cm="1">
        <f t="array" ref="C941">_xlfn.IFS(
    Dataset[[#This Row],[Age]]&lt;=10, "0-10",
    AND(Dataset[[#This Row],[Age]]&gt;10, Dataset[[#This Row],[Age]]&lt;=18), "11-18",
    AND(Dataset[[#This Row],[Age]]&gt;18, Dataset[[#This Row],[Age]]&lt;=30), "19-30",
    AND(Dataset[[#This Row],[Age]]&gt;30, Dataset[[#This Row],[Age]]&lt;=60), "31-60",
    Dataset[[#This Row],[Age]]&gt;60, "above 60"
)</f>
        <v>19-30</v>
      </c>
      <c r="D941">
        <v>0</v>
      </c>
      <c r="E941">
        <v>0</v>
      </c>
      <c r="F941">
        <v>0</v>
      </c>
      <c r="G94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41" s="1" t="s">
        <v>39</v>
      </c>
      <c r="I941" s="1" t="s">
        <v>15</v>
      </c>
      <c r="J941" s="1" t="s">
        <v>22</v>
      </c>
      <c r="K941">
        <v>0</v>
      </c>
    </row>
    <row r="942" spans="1:11" x14ac:dyDescent="0.3">
      <c r="A942" s="1" t="s">
        <v>9</v>
      </c>
      <c r="B942">
        <v>10</v>
      </c>
      <c r="C942" t="str" cm="1">
        <f t="array" ref="C942">_xlfn.IFS(
    Dataset[[#This Row],[Age]]&lt;=10, "0-10",
    AND(Dataset[[#This Row],[Age]]&gt;10, Dataset[[#This Row],[Age]]&lt;=18), "11-18",
    AND(Dataset[[#This Row],[Age]]&gt;18, Dataset[[#This Row],[Age]]&lt;=30), "19-30",
    AND(Dataset[[#This Row],[Age]]&gt;30, Dataset[[#This Row],[Age]]&lt;=60), "31-60",
    Dataset[[#This Row],[Age]]&gt;60, "above 60"
)</f>
        <v>0-10</v>
      </c>
      <c r="D942">
        <v>0</v>
      </c>
      <c r="E942">
        <v>0</v>
      </c>
      <c r="F942">
        <v>0</v>
      </c>
      <c r="G94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42" s="1" t="s">
        <v>48</v>
      </c>
      <c r="I942" s="1" t="s">
        <v>11</v>
      </c>
      <c r="J942" s="1" t="s">
        <v>12</v>
      </c>
      <c r="K942">
        <v>0</v>
      </c>
    </row>
    <row r="943" spans="1:11" x14ac:dyDescent="0.3">
      <c r="A943" s="1" t="s">
        <v>9</v>
      </c>
      <c r="B943">
        <v>15</v>
      </c>
      <c r="C943" t="str" cm="1">
        <f t="array" ref="C943">_xlfn.IFS(
    Dataset[[#This Row],[Age]]&lt;=10, "0-10",
    AND(Dataset[[#This Row],[Age]]&gt;10, Dataset[[#This Row],[Age]]&lt;=18), "11-18",
    AND(Dataset[[#This Row],[Age]]&gt;18, Dataset[[#This Row],[Age]]&lt;=30), "19-30",
    AND(Dataset[[#This Row],[Age]]&gt;30, Dataset[[#This Row],[Age]]&lt;=60), "31-60",
    Dataset[[#This Row],[Age]]&gt;60, "above 60"
)</f>
        <v>11-18</v>
      </c>
      <c r="D943">
        <v>0</v>
      </c>
      <c r="E943">
        <v>0</v>
      </c>
      <c r="F943">
        <v>0</v>
      </c>
      <c r="G94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43" s="1" t="s">
        <v>35</v>
      </c>
      <c r="I943" s="1" t="s">
        <v>15</v>
      </c>
      <c r="J943" s="1" t="s">
        <v>12</v>
      </c>
      <c r="K943">
        <v>0</v>
      </c>
    </row>
    <row r="944" spans="1:11" x14ac:dyDescent="0.3">
      <c r="A944" s="1" t="s">
        <v>9</v>
      </c>
      <c r="B944">
        <v>17</v>
      </c>
      <c r="C944" t="str" cm="1">
        <f t="array" ref="C944">_xlfn.IFS(
    Dataset[[#This Row],[Age]]&lt;=10, "0-10",
    AND(Dataset[[#This Row],[Age]]&gt;10, Dataset[[#This Row],[Age]]&lt;=18), "11-18",
    AND(Dataset[[#This Row],[Age]]&gt;18, Dataset[[#This Row],[Age]]&lt;=30), "19-30",
    AND(Dataset[[#This Row],[Age]]&gt;30, Dataset[[#This Row],[Age]]&lt;=60), "31-60",
    Dataset[[#This Row],[Age]]&gt;60, "above 60"
)</f>
        <v>11-18</v>
      </c>
      <c r="D944">
        <v>0</v>
      </c>
      <c r="E944">
        <v>0</v>
      </c>
      <c r="F944">
        <v>0</v>
      </c>
      <c r="G94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44" s="1" t="s">
        <v>34</v>
      </c>
      <c r="I944" s="1" t="s">
        <v>11</v>
      </c>
      <c r="J944" s="1" t="s">
        <v>22</v>
      </c>
      <c r="K944">
        <v>0</v>
      </c>
    </row>
    <row r="945" spans="1:11" x14ac:dyDescent="0.3">
      <c r="A945" s="1" t="s">
        <v>9</v>
      </c>
      <c r="B945">
        <v>61</v>
      </c>
      <c r="C945" t="str" cm="1">
        <f t="array" ref="C945">_xlfn.IFS(
    Dataset[[#This Row],[Age]]&lt;=10, "0-10",
    AND(Dataset[[#This Row],[Age]]&gt;10, Dataset[[#This Row],[Age]]&lt;=18), "11-18",
    AND(Dataset[[#This Row],[Age]]&gt;18, Dataset[[#This Row],[Age]]&lt;=30), "19-30",
    AND(Dataset[[#This Row],[Age]]&gt;30, Dataset[[#This Row],[Age]]&lt;=60), "31-60",
    Dataset[[#This Row],[Age]]&gt;60, "above 60"
)</f>
        <v>above 60</v>
      </c>
      <c r="D945">
        <v>1</v>
      </c>
      <c r="E945">
        <v>1</v>
      </c>
      <c r="F945">
        <v>1</v>
      </c>
      <c r="G94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45" s="1" t="s">
        <v>10</v>
      </c>
      <c r="I945" s="1" t="s">
        <v>15</v>
      </c>
      <c r="J945" s="1" t="s">
        <v>12</v>
      </c>
      <c r="K945">
        <v>1</v>
      </c>
    </row>
    <row r="946" spans="1:11" x14ac:dyDescent="0.3">
      <c r="A946" s="1" t="s">
        <v>13</v>
      </c>
      <c r="B946">
        <v>35</v>
      </c>
      <c r="C946" t="str" cm="1">
        <f t="array" ref="C946">_xlfn.IFS(
    Dataset[[#This Row],[Age]]&lt;=10, "0-10",
    AND(Dataset[[#This Row],[Age]]&gt;10, Dataset[[#This Row],[Age]]&lt;=18), "11-18",
    AND(Dataset[[#This Row],[Age]]&gt;18, Dataset[[#This Row],[Age]]&lt;=30), "19-30",
    AND(Dataset[[#This Row],[Age]]&gt;30, Dataset[[#This Row],[Age]]&lt;=60), "31-60",
    Dataset[[#This Row],[Age]]&gt;60, "above 60"
)</f>
        <v>31-60</v>
      </c>
      <c r="D946">
        <v>1</v>
      </c>
      <c r="E946">
        <v>1</v>
      </c>
      <c r="F946">
        <v>1</v>
      </c>
      <c r="G94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46" s="1" t="s">
        <v>27</v>
      </c>
      <c r="I946" s="1" t="s">
        <v>11</v>
      </c>
      <c r="J946" s="1" t="s">
        <v>17</v>
      </c>
      <c r="K946">
        <v>1</v>
      </c>
    </row>
    <row r="947" spans="1:11" x14ac:dyDescent="0.3">
      <c r="A947" s="1" t="s">
        <v>9</v>
      </c>
      <c r="B947">
        <v>55</v>
      </c>
      <c r="C947" t="str" cm="1">
        <f t="array" ref="C947">_xlfn.IFS(
    Dataset[[#This Row],[Age]]&lt;=10, "0-10",
    AND(Dataset[[#This Row],[Age]]&gt;10, Dataset[[#This Row],[Age]]&lt;=18), "11-18",
    AND(Dataset[[#This Row],[Age]]&gt;18, Dataset[[#This Row],[Age]]&lt;=30), "19-30",
    AND(Dataset[[#This Row],[Age]]&gt;30, Dataset[[#This Row],[Age]]&lt;=60), "31-60",
    Dataset[[#This Row],[Age]]&gt;60, "above 60"
)</f>
        <v>31-60</v>
      </c>
      <c r="D947">
        <v>1</v>
      </c>
      <c r="E947">
        <v>1</v>
      </c>
      <c r="F947">
        <v>1</v>
      </c>
      <c r="G94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47" s="1" t="s">
        <v>50</v>
      </c>
      <c r="I947" s="1" t="s">
        <v>15</v>
      </c>
      <c r="J947" s="1" t="s">
        <v>17</v>
      </c>
      <c r="K947">
        <v>1</v>
      </c>
    </row>
    <row r="948" spans="1:11" x14ac:dyDescent="0.3">
      <c r="A948" s="1" t="s">
        <v>9</v>
      </c>
      <c r="B948">
        <v>16</v>
      </c>
      <c r="C948" t="str" cm="1">
        <f t="array" ref="C948">_xlfn.IFS(
    Dataset[[#This Row],[Age]]&lt;=10, "0-10",
    AND(Dataset[[#This Row],[Age]]&gt;10, Dataset[[#This Row],[Age]]&lt;=18), "11-18",
    AND(Dataset[[#This Row],[Age]]&gt;18, Dataset[[#This Row],[Age]]&lt;=30), "19-30",
    AND(Dataset[[#This Row],[Age]]&gt;30, Dataset[[#This Row],[Age]]&lt;=60), "31-60",
    Dataset[[#This Row],[Age]]&gt;60, "above 60"
)</f>
        <v>11-18</v>
      </c>
      <c r="D948">
        <v>1</v>
      </c>
      <c r="E948">
        <v>1</v>
      </c>
      <c r="F948">
        <v>1</v>
      </c>
      <c r="G94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48" s="1" t="s">
        <v>41</v>
      </c>
      <c r="I948" s="1" t="s">
        <v>11</v>
      </c>
      <c r="J948" s="1" t="s">
        <v>17</v>
      </c>
      <c r="K948">
        <v>1</v>
      </c>
    </row>
    <row r="949" spans="1:11" x14ac:dyDescent="0.3">
      <c r="A949" s="1" t="s">
        <v>13</v>
      </c>
      <c r="B949">
        <v>52</v>
      </c>
      <c r="C949" t="str" cm="1">
        <f t="array" ref="C949">_xlfn.IFS(
    Dataset[[#This Row],[Age]]&lt;=10, "0-10",
    AND(Dataset[[#This Row],[Age]]&gt;10, Dataset[[#This Row],[Age]]&lt;=18), "11-18",
    AND(Dataset[[#This Row],[Age]]&gt;18, Dataset[[#This Row],[Age]]&lt;=30), "19-30",
    AND(Dataset[[#This Row],[Age]]&gt;30, Dataset[[#This Row],[Age]]&lt;=60), "31-60",
    Dataset[[#This Row],[Age]]&gt;60, "above 60"
)</f>
        <v>31-60</v>
      </c>
      <c r="D949">
        <v>0</v>
      </c>
      <c r="E949">
        <v>0</v>
      </c>
      <c r="F949">
        <v>0</v>
      </c>
      <c r="G94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49" s="1" t="s">
        <v>48</v>
      </c>
      <c r="I949" s="1" t="s">
        <v>15</v>
      </c>
      <c r="J949" s="1" t="s">
        <v>12</v>
      </c>
      <c r="K949">
        <v>0</v>
      </c>
    </row>
    <row r="950" spans="1:11" x14ac:dyDescent="0.3">
      <c r="A950" s="1" t="s">
        <v>9</v>
      </c>
      <c r="B950">
        <v>50</v>
      </c>
      <c r="C950" t="str" cm="1">
        <f t="array" ref="C950">_xlfn.IFS(
    Dataset[[#This Row],[Age]]&lt;=10, "0-10",
    AND(Dataset[[#This Row],[Age]]&gt;10, Dataset[[#This Row],[Age]]&lt;=18), "11-18",
    AND(Dataset[[#This Row],[Age]]&gt;18, Dataset[[#This Row],[Age]]&lt;=30), "19-30",
    AND(Dataset[[#This Row],[Age]]&gt;30, Dataset[[#This Row],[Age]]&lt;=60), "31-60",
    Dataset[[#This Row],[Age]]&gt;60, "above 60"
)</f>
        <v>31-60</v>
      </c>
      <c r="D950">
        <v>0</v>
      </c>
      <c r="E950">
        <v>0</v>
      </c>
      <c r="F950">
        <v>0</v>
      </c>
      <c r="G95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50" s="1" t="s">
        <v>18</v>
      </c>
      <c r="I950" s="1" t="s">
        <v>11</v>
      </c>
      <c r="J950" s="1" t="s">
        <v>17</v>
      </c>
      <c r="K950">
        <v>0</v>
      </c>
    </row>
    <row r="951" spans="1:11" x14ac:dyDescent="0.3">
      <c r="A951" s="1" t="s">
        <v>9</v>
      </c>
      <c r="B951">
        <v>23</v>
      </c>
      <c r="C951" t="str" cm="1">
        <f t="array" ref="C951">_xlfn.IFS(
    Dataset[[#This Row],[Age]]&lt;=10, "0-10",
    AND(Dataset[[#This Row],[Age]]&gt;10, Dataset[[#This Row],[Age]]&lt;=18), "11-18",
    AND(Dataset[[#This Row],[Age]]&gt;18, Dataset[[#This Row],[Age]]&lt;=30), "19-30",
    AND(Dataset[[#This Row],[Age]]&gt;30, Dataset[[#This Row],[Age]]&lt;=60), "31-60",
    Dataset[[#This Row],[Age]]&gt;60, "above 60"
)</f>
        <v>19-30</v>
      </c>
      <c r="D951">
        <v>1</v>
      </c>
      <c r="E951">
        <v>1</v>
      </c>
      <c r="F951">
        <v>1</v>
      </c>
      <c r="G95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51" s="1" t="s">
        <v>24</v>
      </c>
      <c r="I951" s="1" t="s">
        <v>15</v>
      </c>
      <c r="J951" s="1" t="s">
        <v>22</v>
      </c>
      <c r="K951">
        <v>1</v>
      </c>
    </row>
    <row r="952" spans="1:11" x14ac:dyDescent="0.3">
      <c r="A952" s="1" t="s">
        <v>13</v>
      </c>
      <c r="B952">
        <v>64</v>
      </c>
      <c r="C952" t="str" cm="1">
        <f t="array" ref="C952">_xlfn.IFS(
    Dataset[[#This Row],[Age]]&lt;=10, "0-10",
    AND(Dataset[[#This Row],[Age]]&gt;10, Dataset[[#This Row],[Age]]&lt;=18), "11-18",
    AND(Dataset[[#This Row],[Age]]&gt;18, Dataset[[#This Row],[Age]]&lt;=30), "19-30",
    AND(Dataset[[#This Row],[Age]]&gt;30, Dataset[[#This Row],[Age]]&lt;=60), "31-60",
    Dataset[[#This Row],[Age]]&gt;60, "above 60"
)</f>
        <v>above 60</v>
      </c>
      <c r="D952">
        <v>1</v>
      </c>
      <c r="E952">
        <v>1</v>
      </c>
      <c r="F952">
        <v>0</v>
      </c>
      <c r="G95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52" s="1" t="s">
        <v>42</v>
      </c>
      <c r="I952" s="1" t="s">
        <v>11</v>
      </c>
      <c r="J952" s="1" t="s">
        <v>12</v>
      </c>
      <c r="K952">
        <v>1</v>
      </c>
    </row>
    <row r="953" spans="1:11" x14ac:dyDescent="0.3">
      <c r="A953" s="1" t="s">
        <v>9</v>
      </c>
      <c r="B953">
        <v>50</v>
      </c>
      <c r="C953" t="str" cm="1">
        <f t="array" ref="C953">_xlfn.IFS(
    Dataset[[#This Row],[Age]]&lt;=10, "0-10",
    AND(Dataset[[#This Row],[Age]]&gt;10, Dataset[[#This Row],[Age]]&lt;=18), "11-18",
    AND(Dataset[[#This Row],[Age]]&gt;18, Dataset[[#This Row],[Age]]&lt;=30), "19-30",
    AND(Dataset[[#This Row],[Age]]&gt;30, Dataset[[#This Row],[Age]]&lt;=60), "31-60",
    Dataset[[#This Row],[Age]]&gt;60, "above 60"
)</f>
        <v>31-60</v>
      </c>
      <c r="D953">
        <v>0</v>
      </c>
      <c r="E953">
        <v>0</v>
      </c>
      <c r="F953">
        <v>0</v>
      </c>
      <c r="G95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53" s="1" t="s">
        <v>50</v>
      </c>
      <c r="I953" s="1" t="s">
        <v>15</v>
      </c>
      <c r="J953" s="1" t="s">
        <v>22</v>
      </c>
      <c r="K953">
        <v>0</v>
      </c>
    </row>
    <row r="954" spans="1:11" x14ac:dyDescent="0.3">
      <c r="A954" s="1" t="s">
        <v>9</v>
      </c>
      <c r="B954">
        <v>8</v>
      </c>
      <c r="C954" t="str" cm="1">
        <f t="array" ref="C954">_xlfn.IFS(
    Dataset[[#This Row],[Age]]&lt;=10, "0-10",
    AND(Dataset[[#This Row],[Age]]&gt;10, Dataset[[#This Row],[Age]]&lt;=18), "11-18",
    AND(Dataset[[#This Row],[Age]]&gt;18, Dataset[[#This Row],[Age]]&lt;=30), "19-30",
    AND(Dataset[[#This Row],[Age]]&gt;30, Dataset[[#This Row],[Age]]&lt;=60), "31-60",
    Dataset[[#This Row],[Age]]&gt;60, "above 60"
)</f>
        <v>0-10</v>
      </c>
      <c r="D954">
        <v>0</v>
      </c>
      <c r="E954">
        <v>1</v>
      </c>
      <c r="F954">
        <v>0</v>
      </c>
      <c r="G95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Low Risk</v>
      </c>
      <c r="H954" s="1" t="s">
        <v>44</v>
      </c>
      <c r="I954" s="1" t="s">
        <v>15</v>
      </c>
      <c r="J954" s="1" t="s">
        <v>17</v>
      </c>
      <c r="K954">
        <v>1</v>
      </c>
    </row>
    <row r="955" spans="1:11" x14ac:dyDescent="0.3">
      <c r="A955" s="1" t="s">
        <v>9</v>
      </c>
      <c r="B955">
        <v>37</v>
      </c>
      <c r="C955" t="str" cm="1">
        <f t="array" ref="C955">_xlfn.IFS(
    Dataset[[#This Row],[Age]]&lt;=10, "0-10",
    AND(Dataset[[#This Row],[Age]]&gt;10, Dataset[[#This Row],[Age]]&lt;=18), "11-18",
    AND(Dataset[[#This Row],[Age]]&gt;18, Dataset[[#This Row],[Age]]&lt;=30), "19-30",
    AND(Dataset[[#This Row],[Age]]&gt;30, Dataset[[#This Row],[Age]]&lt;=60), "31-60",
    Dataset[[#This Row],[Age]]&gt;60, "above 60"
)</f>
        <v>31-60</v>
      </c>
      <c r="D955">
        <v>0</v>
      </c>
      <c r="E955">
        <v>0</v>
      </c>
      <c r="F955">
        <v>1</v>
      </c>
      <c r="G95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55" s="1" t="s">
        <v>28</v>
      </c>
      <c r="I955" s="1" t="s">
        <v>15</v>
      </c>
      <c r="J955" s="1" t="s">
        <v>22</v>
      </c>
      <c r="K955">
        <v>0</v>
      </c>
    </row>
    <row r="956" spans="1:11" x14ac:dyDescent="0.3">
      <c r="A956" s="1" t="s">
        <v>9</v>
      </c>
      <c r="B956">
        <v>63</v>
      </c>
      <c r="C956" t="str" cm="1">
        <f t="array" ref="C956">_xlfn.IFS(
    Dataset[[#This Row],[Age]]&lt;=10, "0-10",
    AND(Dataset[[#This Row],[Age]]&gt;10, Dataset[[#This Row],[Age]]&lt;=18), "11-18",
    AND(Dataset[[#This Row],[Age]]&gt;18, Dataset[[#This Row],[Age]]&lt;=30), "19-30",
    AND(Dataset[[#This Row],[Age]]&gt;30, Dataset[[#This Row],[Age]]&lt;=60), "31-60",
    Dataset[[#This Row],[Age]]&gt;60, "above 60"
)</f>
        <v>above 60</v>
      </c>
      <c r="D956">
        <v>0</v>
      </c>
      <c r="E956">
        <v>0</v>
      </c>
      <c r="F956">
        <v>0</v>
      </c>
      <c r="G95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56" s="1" t="s">
        <v>50</v>
      </c>
      <c r="I956" s="1" t="s">
        <v>11</v>
      </c>
      <c r="J956" s="1" t="s">
        <v>17</v>
      </c>
      <c r="K956">
        <v>0</v>
      </c>
    </row>
    <row r="957" spans="1:11" x14ac:dyDescent="0.3">
      <c r="A957" s="1" t="s">
        <v>9</v>
      </c>
      <c r="B957">
        <v>45</v>
      </c>
      <c r="C957" t="str" cm="1">
        <f t="array" ref="C957">_xlfn.IFS(
    Dataset[[#This Row],[Age]]&lt;=10, "0-10",
    AND(Dataset[[#This Row],[Age]]&gt;10, Dataset[[#This Row],[Age]]&lt;=18), "11-18",
    AND(Dataset[[#This Row],[Age]]&gt;18, Dataset[[#This Row],[Age]]&lt;=30), "19-30",
    AND(Dataset[[#This Row],[Age]]&gt;30, Dataset[[#This Row],[Age]]&lt;=60), "31-60",
    Dataset[[#This Row],[Age]]&gt;60, "above 60"
)</f>
        <v>31-60</v>
      </c>
      <c r="D957">
        <v>0</v>
      </c>
      <c r="E957">
        <v>0</v>
      </c>
      <c r="F957">
        <v>0</v>
      </c>
      <c r="G95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57" s="1" t="s">
        <v>34</v>
      </c>
      <c r="I957" s="1" t="s">
        <v>15</v>
      </c>
      <c r="J957" s="1" t="s">
        <v>17</v>
      </c>
      <c r="K957">
        <v>0</v>
      </c>
    </row>
    <row r="958" spans="1:11" x14ac:dyDescent="0.3">
      <c r="A958" s="1" t="s">
        <v>9</v>
      </c>
      <c r="B958">
        <v>26</v>
      </c>
      <c r="C958" t="str" cm="1">
        <f t="array" ref="C958">_xlfn.IFS(
    Dataset[[#This Row],[Age]]&lt;=10, "0-10",
    AND(Dataset[[#This Row],[Age]]&gt;10, Dataset[[#This Row],[Age]]&lt;=18), "11-18",
    AND(Dataset[[#This Row],[Age]]&gt;18, Dataset[[#This Row],[Age]]&lt;=30), "19-30",
    AND(Dataset[[#This Row],[Age]]&gt;30, Dataset[[#This Row],[Age]]&lt;=60), "31-60",
    Dataset[[#This Row],[Age]]&gt;60, "above 60"
)</f>
        <v>19-30</v>
      </c>
      <c r="D958">
        <v>0</v>
      </c>
      <c r="E958">
        <v>0</v>
      </c>
      <c r="F958">
        <v>0</v>
      </c>
      <c r="G95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58" s="1" t="s">
        <v>51</v>
      </c>
      <c r="I958" s="1" t="s">
        <v>11</v>
      </c>
      <c r="J958" s="1" t="s">
        <v>12</v>
      </c>
      <c r="K958">
        <v>0</v>
      </c>
    </row>
    <row r="959" spans="1:11" x14ac:dyDescent="0.3">
      <c r="A959" s="1" t="s">
        <v>9</v>
      </c>
      <c r="B959">
        <v>24</v>
      </c>
      <c r="C959" t="str" cm="1">
        <f t="array" ref="C959">_xlfn.IFS(
    Dataset[[#This Row],[Age]]&lt;=10, "0-10",
    AND(Dataset[[#This Row],[Age]]&gt;10, Dataset[[#This Row],[Age]]&lt;=18), "11-18",
    AND(Dataset[[#This Row],[Age]]&gt;18, Dataset[[#This Row],[Age]]&lt;=30), "19-30",
    AND(Dataset[[#This Row],[Age]]&gt;30, Dataset[[#This Row],[Age]]&lt;=60), "31-60",
    Dataset[[#This Row],[Age]]&gt;60, "above 60"
)</f>
        <v>19-30</v>
      </c>
      <c r="D959">
        <v>0</v>
      </c>
      <c r="E959">
        <v>0</v>
      </c>
      <c r="F959">
        <v>0</v>
      </c>
      <c r="G95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59" s="1" t="s">
        <v>43</v>
      </c>
      <c r="I959" s="1" t="s">
        <v>15</v>
      </c>
      <c r="J959" s="1" t="s">
        <v>17</v>
      </c>
      <c r="K959">
        <v>0</v>
      </c>
    </row>
    <row r="960" spans="1:11" x14ac:dyDescent="0.3">
      <c r="A960" s="1" t="s">
        <v>13</v>
      </c>
      <c r="B960">
        <v>31</v>
      </c>
      <c r="C960" t="str" cm="1">
        <f t="array" ref="C960">_xlfn.IFS(
    Dataset[[#This Row],[Age]]&lt;=10, "0-10",
    AND(Dataset[[#This Row],[Age]]&gt;10, Dataset[[#This Row],[Age]]&lt;=18), "11-18",
    AND(Dataset[[#This Row],[Age]]&gt;18, Dataset[[#This Row],[Age]]&lt;=30), "19-30",
    AND(Dataset[[#This Row],[Age]]&gt;30, Dataset[[#This Row],[Age]]&lt;=60), "31-60",
    Dataset[[#This Row],[Age]]&gt;60, "above 60"
)</f>
        <v>31-60</v>
      </c>
      <c r="D960">
        <v>1</v>
      </c>
      <c r="E960">
        <v>1</v>
      </c>
      <c r="F960">
        <v>0</v>
      </c>
      <c r="G96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60" s="1" t="s">
        <v>45</v>
      </c>
      <c r="I960" s="1" t="s">
        <v>11</v>
      </c>
      <c r="J960" s="1" t="s">
        <v>22</v>
      </c>
      <c r="K960">
        <v>1</v>
      </c>
    </row>
    <row r="961" spans="1:11" x14ac:dyDescent="0.3">
      <c r="A961" s="1" t="s">
        <v>9</v>
      </c>
      <c r="B961">
        <v>54</v>
      </c>
      <c r="C961" t="str" cm="1">
        <f t="array" ref="C961">_xlfn.IFS(
    Dataset[[#This Row],[Age]]&lt;=10, "0-10",
    AND(Dataset[[#This Row],[Age]]&gt;10, Dataset[[#This Row],[Age]]&lt;=18), "11-18",
    AND(Dataset[[#This Row],[Age]]&gt;18, Dataset[[#This Row],[Age]]&lt;=30), "19-30",
    AND(Dataset[[#This Row],[Age]]&gt;30, Dataset[[#This Row],[Age]]&lt;=60), "31-60",
    Dataset[[#This Row],[Age]]&gt;60, "above 60"
)</f>
        <v>31-60</v>
      </c>
      <c r="D961">
        <v>0</v>
      </c>
      <c r="E961">
        <v>0</v>
      </c>
      <c r="F961">
        <v>1</v>
      </c>
      <c r="G96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61" s="1" t="s">
        <v>23</v>
      </c>
      <c r="I961" s="1" t="s">
        <v>15</v>
      </c>
      <c r="J961" s="1" t="s">
        <v>22</v>
      </c>
      <c r="K961">
        <v>0</v>
      </c>
    </row>
    <row r="962" spans="1:11" x14ac:dyDescent="0.3">
      <c r="A962" s="1" t="s">
        <v>13</v>
      </c>
      <c r="B962">
        <v>60</v>
      </c>
      <c r="C962" t="str" cm="1">
        <f t="array" ref="C962">_xlfn.IFS(
    Dataset[[#This Row],[Age]]&lt;=10, "0-10",
    AND(Dataset[[#This Row],[Age]]&gt;10, Dataset[[#This Row],[Age]]&lt;=18), "11-18",
    AND(Dataset[[#This Row],[Age]]&gt;18, Dataset[[#This Row],[Age]]&lt;=30), "19-30",
    AND(Dataset[[#This Row],[Age]]&gt;30, Dataset[[#This Row],[Age]]&lt;=60), "31-60",
    Dataset[[#This Row],[Age]]&gt;60, "above 60"
)</f>
        <v>31-60</v>
      </c>
      <c r="D962">
        <v>1</v>
      </c>
      <c r="E962">
        <v>1</v>
      </c>
      <c r="F962">
        <v>1</v>
      </c>
      <c r="G96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62" s="1" t="s">
        <v>33</v>
      </c>
      <c r="I962" s="1" t="s">
        <v>11</v>
      </c>
      <c r="J962" s="1" t="s">
        <v>12</v>
      </c>
      <c r="K962">
        <v>1</v>
      </c>
    </row>
    <row r="963" spans="1:11" x14ac:dyDescent="0.3">
      <c r="A963" s="1" t="s">
        <v>13</v>
      </c>
      <c r="B963">
        <v>61</v>
      </c>
      <c r="C963" t="str" cm="1">
        <f t="array" ref="C963">_xlfn.IFS(
    Dataset[[#This Row],[Age]]&lt;=10, "0-10",
    AND(Dataset[[#This Row],[Age]]&gt;10, Dataset[[#This Row],[Age]]&lt;=18), "11-18",
    AND(Dataset[[#This Row],[Age]]&gt;18, Dataset[[#This Row],[Age]]&lt;=30), "19-30",
    AND(Dataset[[#This Row],[Age]]&gt;30, Dataset[[#This Row],[Age]]&lt;=60), "31-60",
    Dataset[[#This Row],[Age]]&gt;60, "above 60"
)</f>
        <v>above 60</v>
      </c>
      <c r="D963">
        <v>1</v>
      </c>
      <c r="E963">
        <v>1</v>
      </c>
      <c r="F963">
        <v>1</v>
      </c>
      <c r="G96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63" s="1" t="s">
        <v>19</v>
      </c>
      <c r="I963" s="1" t="s">
        <v>15</v>
      </c>
      <c r="J963" s="1" t="s">
        <v>12</v>
      </c>
      <c r="K963">
        <v>1</v>
      </c>
    </row>
    <row r="964" spans="1:11" x14ac:dyDescent="0.3">
      <c r="A964" s="1" t="s">
        <v>13</v>
      </c>
      <c r="B964">
        <v>58</v>
      </c>
      <c r="C964" t="str" cm="1">
        <f t="array" ref="C964">_xlfn.IFS(
    Dataset[[#This Row],[Age]]&lt;=10, "0-10",
    AND(Dataset[[#This Row],[Age]]&gt;10, Dataset[[#This Row],[Age]]&lt;=18), "11-18",
    AND(Dataset[[#This Row],[Age]]&gt;18, Dataset[[#This Row],[Age]]&lt;=30), "19-30",
    AND(Dataset[[#This Row],[Age]]&gt;30, Dataset[[#This Row],[Age]]&lt;=60), "31-60",
    Dataset[[#This Row],[Age]]&gt;60, "above 60"
)</f>
        <v>31-60</v>
      </c>
      <c r="D964">
        <v>0</v>
      </c>
      <c r="E964">
        <v>1</v>
      </c>
      <c r="F964">
        <v>0</v>
      </c>
      <c r="G96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Low Risk</v>
      </c>
      <c r="H964" s="1" t="s">
        <v>38</v>
      </c>
      <c r="I964" s="1" t="s">
        <v>11</v>
      </c>
      <c r="J964" s="1" t="s">
        <v>22</v>
      </c>
      <c r="K964">
        <v>1</v>
      </c>
    </row>
    <row r="965" spans="1:11" x14ac:dyDescent="0.3">
      <c r="A965" s="1" t="s">
        <v>9</v>
      </c>
      <c r="B965">
        <v>39</v>
      </c>
      <c r="C965" t="str" cm="1">
        <f t="array" ref="C965">_xlfn.IFS(
    Dataset[[#This Row],[Age]]&lt;=10, "0-10",
    AND(Dataset[[#This Row],[Age]]&gt;10, Dataset[[#This Row],[Age]]&lt;=18), "11-18",
    AND(Dataset[[#This Row],[Age]]&gt;18, Dataset[[#This Row],[Age]]&lt;=30), "19-30",
    AND(Dataset[[#This Row],[Age]]&gt;30, Dataset[[#This Row],[Age]]&lt;=60), "31-60",
    Dataset[[#This Row],[Age]]&gt;60, "above 60"
)</f>
        <v>31-60</v>
      </c>
      <c r="D965">
        <v>0</v>
      </c>
      <c r="E965">
        <v>0</v>
      </c>
      <c r="F965">
        <v>1</v>
      </c>
      <c r="G96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65" s="1" t="s">
        <v>40</v>
      </c>
      <c r="I965" s="1" t="s">
        <v>15</v>
      </c>
      <c r="J965" s="1" t="s">
        <v>22</v>
      </c>
      <c r="K965">
        <v>0</v>
      </c>
    </row>
    <row r="966" spans="1:11" x14ac:dyDescent="0.3">
      <c r="A966" s="1" t="s">
        <v>9</v>
      </c>
      <c r="B966">
        <v>30</v>
      </c>
      <c r="C966" t="str" cm="1">
        <f t="array" ref="C966">_xlfn.IFS(
    Dataset[[#This Row],[Age]]&lt;=10, "0-10",
    AND(Dataset[[#This Row],[Age]]&gt;10, Dataset[[#This Row],[Age]]&lt;=18), "11-18",
    AND(Dataset[[#This Row],[Age]]&gt;18, Dataset[[#This Row],[Age]]&lt;=30), "19-30",
    AND(Dataset[[#This Row],[Age]]&gt;30, Dataset[[#This Row],[Age]]&lt;=60), "31-60",
    Dataset[[#This Row],[Age]]&gt;60, "above 60"
)</f>
        <v>19-30</v>
      </c>
      <c r="D966">
        <v>0</v>
      </c>
      <c r="E966">
        <v>0</v>
      </c>
      <c r="F966">
        <v>1</v>
      </c>
      <c r="G96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66" s="1" t="s">
        <v>41</v>
      </c>
      <c r="I966" s="1" t="s">
        <v>11</v>
      </c>
      <c r="J966" s="1" t="s">
        <v>17</v>
      </c>
      <c r="K966">
        <v>0</v>
      </c>
    </row>
    <row r="967" spans="1:11" x14ac:dyDescent="0.3">
      <c r="A967" s="1" t="s">
        <v>13</v>
      </c>
      <c r="B967">
        <v>57</v>
      </c>
      <c r="C967" t="str" cm="1">
        <f t="array" ref="C967">_xlfn.IFS(
    Dataset[[#This Row],[Age]]&lt;=10, "0-10",
    AND(Dataset[[#This Row],[Age]]&gt;10, Dataset[[#This Row],[Age]]&lt;=18), "11-18",
    AND(Dataset[[#This Row],[Age]]&gt;18, Dataset[[#This Row],[Age]]&lt;=30), "19-30",
    AND(Dataset[[#This Row],[Age]]&gt;30, Dataset[[#This Row],[Age]]&lt;=60), "31-60",
    Dataset[[#This Row],[Age]]&gt;60, "above 60"
)</f>
        <v>31-60</v>
      </c>
      <c r="D967">
        <v>1</v>
      </c>
      <c r="E967">
        <v>1</v>
      </c>
      <c r="F967">
        <v>0</v>
      </c>
      <c r="G96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67" s="1" t="s">
        <v>36</v>
      </c>
      <c r="I967" s="1" t="s">
        <v>15</v>
      </c>
      <c r="J967" s="1" t="s">
        <v>17</v>
      </c>
      <c r="K967">
        <v>1</v>
      </c>
    </row>
    <row r="968" spans="1:11" x14ac:dyDescent="0.3">
      <c r="A968" s="1" t="s">
        <v>9</v>
      </c>
      <c r="B968">
        <v>40</v>
      </c>
      <c r="C968" t="str" cm="1">
        <f t="array" ref="C968">_xlfn.IFS(
    Dataset[[#This Row],[Age]]&lt;=10, "0-10",
    AND(Dataset[[#This Row],[Age]]&gt;10, Dataset[[#This Row],[Age]]&lt;=18), "11-18",
    AND(Dataset[[#This Row],[Age]]&gt;18, Dataset[[#This Row],[Age]]&lt;=30), "19-30",
    AND(Dataset[[#This Row],[Age]]&gt;30, Dataset[[#This Row],[Age]]&lt;=60), "31-60",
    Dataset[[#This Row],[Age]]&gt;60, "above 60"
)</f>
        <v>31-60</v>
      </c>
      <c r="D968">
        <v>1</v>
      </c>
      <c r="E968">
        <v>1</v>
      </c>
      <c r="F968">
        <v>0</v>
      </c>
      <c r="G96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68" s="1" t="s">
        <v>16</v>
      </c>
      <c r="I968" s="1" t="s">
        <v>11</v>
      </c>
      <c r="J968" s="1" t="s">
        <v>22</v>
      </c>
      <c r="K968">
        <v>1</v>
      </c>
    </row>
    <row r="969" spans="1:11" x14ac:dyDescent="0.3">
      <c r="A969" s="1" t="s">
        <v>13</v>
      </c>
      <c r="B969">
        <v>39</v>
      </c>
      <c r="C969" t="str" cm="1">
        <f t="array" ref="C969">_xlfn.IFS(
    Dataset[[#This Row],[Age]]&lt;=10, "0-10",
    AND(Dataset[[#This Row],[Age]]&gt;10, Dataset[[#This Row],[Age]]&lt;=18), "11-18",
    AND(Dataset[[#This Row],[Age]]&gt;18, Dataset[[#This Row],[Age]]&lt;=30), "19-30",
    AND(Dataset[[#This Row],[Age]]&gt;30, Dataset[[#This Row],[Age]]&lt;=60), "31-60",
    Dataset[[#This Row],[Age]]&gt;60, "above 60"
)</f>
        <v>31-60</v>
      </c>
      <c r="D969">
        <v>0</v>
      </c>
      <c r="E969">
        <v>0</v>
      </c>
      <c r="F969">
        <v>0</v>
      </c>
      <c r="G96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69" s="1" t="s">
        <v>49</v>
      </c>
      <c r="I969" s="1" t="s">
        <v>15</v>
      </c>
      <c r="J969" s="1" t="s">
        <v>12</v>
      </c>
      <c r="K969">
        <v>0</v>
      </c>
    </row>
    <row r="970" spans="1:11" x14ac:dyDescent="0.3">
      <c r="A970" s="1" t="s">
        <v>9</v>
      </c>
      <c r="B970">
        <v>9</v>
      </c>
      <c r="C970" t="str" cm="1">
        <f t="array" ref="C970">_xlfn.IFS(
    Dataset[[#This Row],[Age]]&lt;=10, "0-10",
    AND(Dataset[[#This Row],[Age]]&gt;10, Dataset[[#This Row],[Age]]&lt;=18), "11-18",
    AND(Dataset[[#This Row],[Age]]&gt;18, Dataset[[#This Row],[Age]]&lt;=30), "19-30",
    AND(Dataset[[#This Row],[Age]]&gt;30, Dataset[[#This Row],[Age]]&lt;=60), "31-60",
    Dataset[[#This Row],[Age]]&gt;60, "above 60"
)</f>
        <v>0-10</v>
      </c>
      <c r="D970">
        <v>1</v>
      </c>
      <c r="E970">
        <v>1</v>
      </c>
      <c r="F970">
        <v>1</v>
      </c>
      <c r="G97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70" s="1" t="s">
        <v>49</v>
      </c>
      <c r="I970" s="1" t="s">
        <v>11</v>
      </c>
      <c r="J970" s="1" t="s">
        <v>17</v>
      </c>
      <c r="K970">
        <v>1</v>
      </c>
    </row>
    <row r="971" spans="1:11" x14ac:dyDescent="0.3">
      <c r="A971" s="1" t="s">
        <v>13</v>
      </c>
      <c r="B971">
        <v>26</v>
      </c>
      <c r="C971" t="str" cm="1">
        <f t="array" ref="C971">_xlfn.IFS(
    Dataset[[#This Row],[Age]]&lt;=10, "0-10",
    AND(Dataset[[#This Row],[Age]]&gt;10, Dataset[[#This Row],[Age]]&lt;=18), "11-18",
    AND(Dataset[[#This Row],[Age]]&gt;18, Dataset[[#This Row],[Age]]&lt;=30), "19-30",
    AND(Dataset[[#This Row],[Age]]&gt;30, Dataset[[#This Row],[Age]]&lt;=60), "31-60",
    Dataset[[#This Row],[Age]]&gt;60, "above 60"
)</f>
        <v>19-30</v>
      </c>
      <c r="D971">
        <v>0</v>
      </c>
      <c r="E971">
        <v>1</v>
      </c>
      <c r="F971">
        <v>0</v>
      </c>
      <c r="G97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Low Risk</v>
      </c>
      <c r="H971" s="1" t="s">
        <v>33</v>
      </c>
      <c r="I971" s="1" t="s">
        <v>15</v>
      </c>
      <c r="J971" s="1" t="s">
        <v>17</v>
      </c>
      <c r="K971">
        <v>1</v>
      </c>
    </row>
    <row r="972" spans="1:11" x14ac:dyDescent="0.3">
      <c r="A972" s="1" t="s">
        <v>9</v>
      </c>
      <c r="B972">
        <v>40</v>
      </c>
      <c r="C972" t="str" cm="1">
        <f t="array" ref="C972">_xlfn.IFS(
    Dataset[[#This Row],[Age]]&lt;=10, "0-10",
    AND(Dataset[[#This Row],[Age]]&gt;10, Dataset[[#This Row],[Age]]&lt;=18), "11-18",
    AND(Dataset[[#This Row],[Age]]&gt;18, Dataset[[#This Row],[Age]]&lt;=30), "19-30",
    AND(Dataset[[#This Row],[Age]]&gt;30, Dataset[[#This Row],[Age]]&lt;=60), "31-60",
    Dataset[[#This Row],[Age]]&gt;60, "above 60"
)</f>
        <v>31-60</v>
      </c>
      <c r="D972">
        <v>1</v>
      </c>
      <c r="E972">
        <v>1</v>
      </c>
      <c r="F972">
        <v>0</v>
      </c>
      <c r="G97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72" s="1" t="s">
        <v>46</v>
      </c>
      <c r="I972" s="1" t="s">
        <v>11</v>
      </c>
      <c r="J972" s="1" t="s">
        <v>12</v>
      </c>
      <c r="K972">
        <v>1</v>
      </c>
    </row>
    <row r="973" spans="1:11" x14ac:dyDescent="0.3">
      <c r="A973" s="1" t="s">
        <v>13</v>
      </c>
      <c r="B973">
        <v>49</v>
      </c>
      <c r="C973" t="str" cm="1">
        <f t="array" ref="C973">_xlfn.IFS(
    Dataset[[#This Row],[Age]]&lt;=10, "0-10",
    AND(Dataset[[#This Row],[Age]]&gt;10, Dataset[[#This Row],[Age]]&lt;=18), "11-18",
    AND(Dataset[[#This Row],[Age]]&gt;18, Dataset[[#This Row],[Age]]&lt;=30), "19-30",
    AND(Dataset[[#This Row],[Age]]&gt;30, Dataset[[#This Row],[Age]]&lt;=60), "31-60",
    Dataset[[#This Row],[Age]]&gt;60, "above 60"
)</f>
        <v>31-60</v>
      </c>
      <c r="D973">
        <v>1</v>
      </c>
      <c r="E973">
        <v>1</v>
      </c>
      <c r="F973">
        <v>1</v>
      </c>
      <c r="G97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73" s="1" t="s">
        <v>21</v>
      </c>
      <c r="I973" s="1" t="s">
        <v>15</v>
      </c>
      <c r="J973" s="1" t="s">
        <v>17</v>
      </c>
      <c r="K973">
        <v>1</v>
      </c>
    </row>
    <row r="974" spans="1:11" x14ac:dyDescent="0.3">
      <c r="A974" s="1" t="s">
        <v>9</v>
      </c>
      <c r="B974">
        <v>29</v>
      </c>
      <c r="C974" t="str" cm="1">
        <f t="array" ref="C974">_xlfn.IFS(
    Dataset[[#This Row],[Age]]&lt;=10, "0-10",
    AND(Dataset[[#This Row],[Age]]&gt;10, Dataset[[#This Row],[Age]]&lt;=18), "11-18",
    AND(Dataset[[#This Row],[Age]]&gt;18, Dataset[[#This Row],[Age]]&lt;=30), "19-30",
    AND(Dataset[[#This Row],[Age]]&gt;30, Dataset[[#This Row],[Age]]&lt;=60), "31-60",
    Dataset[[#This Row],[Age]]&gt;60, "above 60"
)</f>
        <v>19-30</v>
      </c>
      <c r="D974">
        <v>0</v>
      </c>
      <c r="E974">
        <v>0</v>
      </c>
      <c r="F974">
        <v>1</v>
      </c>
      <c r="G97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74" s="1" t="s">
        <v>31</v>
      </c>
      <c r="I974" s="1" t="s">
        <v>11</v>
      </c>
      <c r="J974" s="1" t="s">
        <v>22</v>
      </c>
      <c r="K974">
        <v>0</v>
      </c>
    </row>
    <row r="975" spans="1:11" x14ac:dyDescent="0.3">
      <c r="A975" s="1" t="s">
        <v>9</v>
      </c>
      <c r="B975">
        <v>38</v>
      </c>
      <c r="C975" t="str" cm="1">
        <f t="array" ref="C975">_xlfn.IFS(
    Dataset[[#This Row],[Age]]&lt;=10, "0-10",
    AND(Dataset[[#This Row],[Age]]&gt;10, Dataset[[#This Row],[Age]]&lt;=18), "11-18",
    AND(Dataset[[#This Row],[Age]]&gt;18, Dataset[[#This Row],[Age]]&lt;=30), "19-30",
    AND(Dataset[[#This Row],[Age]]&gt;30, Dataset[[#This Row],[Age]]&lt;=60), "31-60",
    Dataset[[#This Row],[Age]]&gt;60, "above 60"
)</f>
        <v>31-60</v>
      </c>
      <c r="D975">
        <v>1</v>
      </c>
      <c r="E975">
        <v>1</v>
      </c>
      <c r="F975">
        <v>0</v>
      </c>
      <c r="G97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75" s="1" t="s">
        <v>43</v>
      </c>
      <c r="I975" s="1" t="s">
        <v>15</v>
      </c>
      <c r="J975" s="1" t="s">
        <v>17</v>
      </c>
      <c r="K975">
        <v>1</v>
      </c>
    </row>
    <row r="976" spans="1:11" x14ac:dyDescent="0.3">
      <c r="A976" s="1" t="s">
        <v>13</v>
      </c>
      <c r="B976">
        <v>52</v>
      </c>
      <c r="C976" t="str" cm="1">
        <f t="array" ref="C976">_xlfn.IFS(
    Dataset[[#This Row],[Age]]&lt;=10, "0-10",
    AND(Dataset[[#This Row],[Age]]&gt;10, Dataset[[#This Row],[Age]]&lt;=18), "11-18",
    AND(Dataset[[#This Row],[Age]]&gt;18, Dataset[[#This Row],[Age]]&lt;=30), "19-30",
    AND(Dataset[[#This Row],[Age]]&gt;30, Dataset[[#This Row],[Age]]&lt;=60), "31-60",
    Dataset[[#This Row],[Age]]&gt;60, "above 60"
)</f>
        <v>31-60</v>
      </c>
      <c r="D976">
        <v>0</v>
      </c>
      <c r="E976">
        <v>0</v>
      </c>
      <c r="F976">
        <v>1</v>
      </c>
      <c r="G97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76" s="1" t="s">
        <v>14</v>
      </c>
      <c r="I976" s="1" t="s">
        <v>11</v>
      </c>
      <c r="J976" s="1" t="s">
        <v>12</v>
      </c>
      <c r="K976">
        <v>0</v>
      </c>
    </row>
    <row r="977" spans="1:11" x14ac:dyDescent="0.3">
      <c r="A977" s="1" t="s">
        <v>13</v>
      </c>
      <c r="B977">
        <v>64</v>
      </c>
      <c r="C977" t="str" cm="1">
        <f t="array" ref="C977">_xlfn.IFS(
    Dataset[[#This Row],[Age]]&lt;=10, "0-10",
    AND(Dataset[[#This Row],[Age]]&gt;10, Dataset[[#This Row],[Age]]&lt;=18), "11-18",
    AND(Dataset[[#This Row],[Age]]&gt;18, Dataset[[#This Row],[Age]]&lt;=30), "19-30",
    AND(Dataset[[#This Row],[Age]]&gt;30, Dataset[[#This Row],[Age]]&lt;=60), "31-60",
    Dataset[[#This Row],[Age]]&gt;60, "above 60"
)</f>
        <v>above 60</v>
      </c>
      <c r="D977">
        <v>0</v>
      </c>
      <c r="E977">
        <v>0</v>
      </c>
      <c r="F977">
        <v>0</v>
      </c>
      <c r="G97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77" s="1" t="s">
        <v>39</v>
      </c>
      <c r="I977" s="1" t="s">
        <v>15</v>
      </c>
      <c r="J977" s="1" t="s">
        <v>12</v>
      </c>
      <c r="K977">
        <v>0</v>
      </c>
    </row>
    <row r="978" spans="1:11" x14ac:dyDescent="0.3">
      <c r="A978" s="1" t="s">
        <v>13</v>
      </c>
      <c r="B978">
        <v>11</v>
      </c>
      <c r="C978" t="str" cm="1">
        <f t="array" ref="C978">_xlfn.IFS(
    Dataset[[#This Row],[Age]]&lt;=10, "0-10",
    AND(Dataset[[#This Row],[Age]]&gt;10, Dataset[[#This Row],[Age]]&lt;=18), "11-18",
    AND(Dataset[[#This Row],[Age]]&gt;18, Dataset[[#This Row],[Age]]&lt;=30), "19-30",
    AND(Dataset[[#This Row],[Age]]&gt;30, Dataset[[#This Row],[Age]]&lt;=60), "31-60",
    Dataset[[#This Row],[Age]]&gt;60, "above 60"
)</f>
        <v>11-18</v>
      </c>
      <c r="D978">
        <v>0</v>
      </c>
      <c r="E978">
        <v>0</v>
      </c>
      <c r="F978">
        <v>0</v>
      </c>
      <c r="G97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78" s="1" t="s">
        <v>43</v>
      </c>
      <c r="I978" s="1" t="s">
        <v>11</v>
      </c>
      <c r="J978" s="1" t="s">
        <v>17</v>
      </c>
      <c r="K978">
        <v>0</v>
      </c>
    </row>
    <row r="979" spans="1:11" x14ac:dyDescent="0.3">
      <c r="A979" s="1" t="s">
        <v>13</v>
      </c>
      <c r="B979">
        <v>39</v>
      </c>
      <c r="C979" t="str" cm="1">
        <f t="array" ref="C979">_xlfn.IFS(
    Dataset[[#This Row],[Age]]&lt;=10, "0-10",
    AND(Dataset[[#This Row],[Age]]&gt;10, Dataset[[#This Row],[Age]]&lt;=18), "11-18",
    AND(Dataset[[#This Row],[Age]]&gt;18, Dataset[[#This Row],[Age]]&lt;=30), "19-30",
    AND(Dataset[[#This Row],[Age]]&gt;30, Dataset[[#This Row],[Age]]&lt;=60), "31-60",
    Dataset[[#This Row],[Age]]&gt;60, "above 60"
)</f>
        <v>31-60</v>
      </c>
      <c r="D979">
        <v>1</v>
      </c>
      <c r="E979">
        <v>1</v>
      </c>
      <c r="F979">
        <v>0</v>
      </c>
      <c r="G97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79" s="1" t="s">
        <v>31</v>
      </c>
      <c r="I979" s="1" t="s">
        <v>15</v>
      </c>
      <c r="J979" s="1" t="s">
        <v>17</v>
      </c>
      <c r="K979">
        <v>1</v>
      </c>
    </row>
    <row r="980" spans="1:11" x14ac:dyDescent="0.3">
      <c r="A980" s="1" t="s">
        <v>13</v>
      </c>
      <c r="B980">
        <v>39</v>
      </c>
      <c r="C980" t="str" cm="1">
        <f t="array" ref="C980">_xlfn.IFS(
    Dataset[[#This Row],[Age]]&lt;=10, "0-10",
    AND(Dataset[[#This Row],[Age]]&gt;10, Dataset[[#This Row],[Age]]&lt;=18), "11-18",
    AND(Dataset[[#This Row],[Age]]&gt;18, Dataset[[#This Row],[Age]]&lt;=30), "19-30",
    AND(Dataset[[#This Row],[Age]]&gt;30, Dataset[[#This Row],[Age]]&lt;=60), "31-60",
    Dataset[[#This Row],[Age]]&gt;60, "above 60"
)</f>
        <v>31-60</v>
      </c>
      <c r="D980">
        <v>1</v>
      </c>
      <c r="E980">
        <v>1</v>
      </c>
      <c r="F980">
        <v>0</v>
      </c>
      <c r="G98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80" s="1" t="s">
        <v>34</v>
      </c>
      <c r="I980" s="1" t="s">
        <v>11</v>
      </c>
      <c r="J980" s="1" t="s">
        <v>22</v>
      </c>
      <c r="K980">
        <v>1</v>
      </c>
    </row>
    <row r="981" spans="1:11" x14ac:dyDescent="0.3">
      <c r="A981" s="1" t="s">
        <v>9</v>
      </c>
      <c r="B981">
        <v>25</v>
      </c>
      <c r="C981" t="str" cm="1">
        <f t="array" ref="C981">_xlfn.IFS(
    Dataset[[#This Row],[Age]]&lt;=10, "0-10",
    AND(Dataset[[#This Row],[Age]]&gt;10, Dataset[[#This Row],[Age]]&lt;=18), "11-18",
    AND(Dataset[[#This Row],[Age]]&gt;18, Dataset[[#This Row],[Age]]&lt;=30), "19-30",
    AND(Dataset[[#This Row],[Age]]&gt;30, Dataset[[#This Row],[Age]]&lt;=60), "31-60",
    Dataset[[#This Row],[Age]]&gt;60, "above 60"
)</f>
        <v>19-30</v>
      </c>
      <c r="D981">
        <v>1</v>
      </c>
      <c r="E981">
        <v>1</v>
      </c>
      <c r="F981">
        <v>0</v>
      </c>
      <c r="G98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81" s="1" t="s">
        <v>50</v>
      </c>
      <c r="I981" s="1" t="s">
        <v>15</v>
      </c>
      <c r="J981" s="1" t="s">
        <v>22</v>
      </c>
      <c r="K981">
        <v>1</v>
      </c>
    </row>
    <row r="982" spans="1:11" x14ac:dyDescent="0.3">
      <c r="A982" s="1" t="s">
        <v>13</v>
      </c>
      <c r="B982">
        <v>9</v>
      </c>
      <c r="C982" t="str" cm="1">
        <f t="array" ref="C982">_xlfn.IFS(
    Dataset[[#This Row],[Age]]&lt;=10, "0-10",
    AND(Dataset[[#This Row],[Age]]&gt;10, Dataset[[#This Row],[Age]]&lt;=18), "11-18",
    AND(Dataset[[#This Row],[Age]]&gt;18, Dataset[[#This Row],[Age]]&lt;=30), "19-30",
    AND(Dataset[[#This Row],[Age]]&gt;30, Dataset[[#This Row],[Age]]&lt;=60), "31-60",
    Dataset[[#This Row],[Age]]&gt;60, "above 60"
)</f>
        <v>0-10</v>
      </c>
      <c r="D982">
        <v>0</v>
      </c>
      <c r="E982">
        <v>0</v>
      </c>
      <c r="F982">
        <v>1</v>
      </c>
      <c r="G98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82" s="1" t="s">
        <v>10</v>
      </c>
      <c r="I982" s="1" t="s">
        <v>11</v>
      </c>
      <c r="J982" s="1" t="s">
        <v>12</v>
      </c>
      <c r="K982">
        <v>0</v>
      </c>
    </row>
    <row r="983" spans="1:11" x14ac:dyDescent="0.3">
      <c r="A983" s="1" t="s">
        <v>9</v>
      </c>
      <c r="B983">
        <v>61</v>
      </c>
      <c r="C983" t="str" cm="1">
        <f t="array" ref="C983">_xlfn.IFS(
    Dataset[[#This Row],[Age]]&lt;=10, "0-10",
    AND(Dataset[[#This Row],[Age]]&gt;10, Dataset[[#This Row],[Age]]&lt;=18), "11-18",
    AND(Dataset[[#This Row],[Age]]&gt;18, Dataset[[#This Row],[Age]]&lt;=30), "19-30",
    AND(Dataset[[#This Row],[Age]]&gt;30, Dataset[[#This Row],[Age]]&lt;=60), "31-60",
    Dataset[[#This Row],[Age]]&gt;60, "above 60"
)</f>
        <v>above 60</v>
      </c>
      <c r="D983">
        <v>1</v>
      </c>
      <c r="E983">
        <v>1</v>
      </c>
      <c r="F983">
        <v>0</v>
      </c>
      <c r="G98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83" s="1" t="s">
        <v>19</v>
      </c>
      <c r="I983" s="1" t="s">
        <v>15</v>
      </c>
      <c r="J983" s="1" t="s">
        <v>12</v>
      </c>
      <c r="K983">
        <v>1</v>
      </c>
    </row>
    <row r="984" spans="1:11" x14ac:dyDescent="0.3">
      <c r="A984" s="1" t="s">
        <v>9</v>
      </c>
      <c r="B984">
        <v>18</v>
      </c>
      <c r="C984" t="str" cm="1">
        <f t="array" ref="C984">_xlfn.IFS(
    Dataset[[#This Row],[Age]]&lt;=10, "0-10",
    AND(Dataset[[#This Row],[Age]]&gt;10, Dataset[[#This Row],[Age]]&lt;=18), "11-18",
    AND(Dataset[[#This Row],[Age]]&gt;18, Dataset[[#This Row],[Age]]&lt;=30), "19-30",
    AND(Dataset[[#This Row],[Age]]&gt;30, Dataset[[#This Row],[Age]]&lt;=60), "31-60",
    Dataset[[#This Row],[Age]]&gt;60, "above 60"
)</f>
        <v>11-18</v>
      </c>
      <c r="D984">
        <v>0</v>
      </c>
      <c r="E984">
        <v>0</v>
      </c>
      <c r="F984">
        <v>1</v>
      </c>
      <c r="G98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84" s="1" t="s">
        <v>49</v>
      </c>
      <c r="I984" s="1" t="s">
        <v>11</v>
      </c>
      <c r="J984" s="1" t="s">
        <v>12</v>
      </c>
      <c r="K984">
        <v>0</v>
      </c>
    </row>
    <row r="985" spans="1:11" x14ac:dyDescent="0.3">
      <c r="A985" s="1" t="s">
        <v>9</v>
      </c>
      <c r="B985">
        <v>55</v>
      </c>
      <c r="C985" t="str" cm="1">
        <f t="array" ref="C985">_xlfn.IFS(
    Dataset[[#This Row],[Age]]&lt;=10, "0-10",
    AND(Dataset[[#This Row],[Age]]&gt;10, Dataset[[#This Row],[Age]]&lt;=18), "11-18",
    AND(Dataset[[#This Row],[Age]]&gt;18, Dataset[[#This Row],[Age]]&lt;=30), "19-30",
    AND(Dataset[[#This Row],[Age]]&gt;30, Dataset[[#This Row],[Age]]&lt;=60), "31-60",
    Dataset[[#This Row],[Age]]&gt;60, "above 60"
)</f>
        <v>31-60</v>
      </c>
      <c r="D985">
        <v>1</v>
      </c>
      <c r="E985">
        <v>1</v>
      </c>
      <c r="F985">
        <v>0</v>
      </c>
      <c r="G98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85" s="1" t="s">
        <v>44</v>
      </c>
      <c r="I985" s="1" t="s">
        <v>15</v>
      </c>
      <c r="J985" s="1" t="s">
        <v>22</v>
      </c>
      <c r="K985">
        <v>1</v>
      </c>
    </row>
    <row r="986" spans="1:11" x14ac:dyDescent="0.3">
      <c r="A986" s="1" t="s">
        <v>13</v>
      </c>
      <c r="B986">
        <v>11</v>
      </c>
      <c r="C986" t="str" cm="1">
        <f t="array" ref="C986">_xlfn.IFS(
    Dataset[[#This Row],[Age]]&lt;=10, "0-10",
    AND(Dataset[[#This Row],[Age]]&gt;10, Dataset[[#This Row],[Age]]&lt;=18), "11-18",
    AND(Dataset[[#This Row],[Age]]&gt;18, Dataset[[#This Row],[Age]]&lt;=30), "19-30",
    AND(Dataset[[#This Row],[Age]]&gt;30, Dataset[[#This Row],[Age]]&lt;=60), "31-60",
    Dataset[[#This Row],[Age]]&gt;60, "above 60"
)</f>
        <v>11-18</v>
      </c>
      <c r="D986">
        <v>0</v>
      </c>
      <c r="E986">
        <v>0</v>
      </c>
      <c r="F986">
        <v>0</v>
      </c>
      <c r="G98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86" s="1" t="s">
        <v>43</v>
      </c>
      <c r="I986" s="1" t="s">
        <v>11</v>
      </c>
      <c r="J986" s="1" t="s">
        <v>12</v>
      </c>
      <c r="K986">
        <v>0</v>
      </c>
    </row>
    <row r="987" spans="1:11" x14ac:dyDescent="0.3">
      <c r="A987" s="1" t="s">
        <v>13</v>
      </c>
      <c r="B987">
        <v>23</v>
      </c>
      <c r="C987" t="str" cm="1">
        <f t="array" ref="C987">_xlfn.IFS(
    Dataset[[#This Row],[Age]]&lt;=10, "0-10",
    AND(Dataset[[#This Row],[Age]]&gt;10, Dataset[[#This Row],[Age]]&lt;=18), "11-18",
    AND(Dataset[[#This Row],[Age]]&gt;18, Dataset[[#This Row],[Age]]&lt;=30), "19-30",
    AND(Dataset[[#This Row],[Age]]&gt;30, Dataset[[#This Row],[Age]]&lt;=60), "31-60",
    Dataset[[#This Row],[Age]]&gt;60, "above 60"
)</f>
        <v>19-30</v>
      </c>
      <c r="D987">
        <v>1</v>
      </c>
      <c r="E987">
        <v>1</v>
      </c>
      <c r="F987">
        <v>0</v>
      </c>
      <c r="G987"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87" s="1" t="s">
        <v>41</v>
      </c>
      <c r="I987" s="1" t="s">
        <v>15</v>
      </c>
      <c r="J987" s="1" t="s">
        <v>12</v>
      </c>
      <c r="K987">
        <v>1</v>
      </c>
    </row>
    <row r="988" spans="1:11" x14ac:dyDescent="0.3">
      <c r="A988" s="1" t="s">
        <v>9</v>
      </c>
      <c r="B988">
        <v>37</v>
      </c>
      <c r="C988" t="str" cm="1">
        <f t="array" ref="C988">_xlfn.IFS(
    Dataset[[#This Row],[Age]]&lt;=10, "0-10",
    AND(Dataset[[#This Row],[Age]]&gt;10, Dataset[[#This Row],[Age]]&lt;=18), "11-18",
    AND(Dataset[[#This Row],[Age]]&gt;18, Dataset[[#This Row],[Age]]&lt;=30), "19-30",
    AND(Dataset[[#This Row],[Age]]&gt;30, Dataset[[#This Row],[Age]]&lt;=60), "31-60",
    Dataset[[#This Row],[Age]]&gt;60, "above 60"
)</f>
        <v>31-60</v>
      </c>
      <c r="D988">
        <v>1</v>
      </c>
      <c r="E988">
        <v>1</v>
      </c>
      <c r="F988">
        <v>1</v>
      </c>
      <c r="G988"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88" s="1" t="s">
        <v>31</v>
      </c>
      <c r="I988" s="1" t="s">
        <v>11</v>
      </c>
      <c r="J988" s="1" t="s">
        <v>17</v>
      </c>
      <c r="K988">
        <v>1</v>
      </c>
    </row>
    <row r="989" spans="1:11" x14ac:dyDescent="0.3">
      <c r="A989" s="1" t="s">
        <v>9</v>
      </c>
      <c r="B989">
        <v>33</v>
      </c>
      <c r="C989" t="str" cm="1">
        <f t="array" ref="C989">_xlfn.IFS(
    Dataset[[#This Row],[Age]]&lt;=10, "0-10",
    AND(Dataset[[#This Row],[Age]]&gt;10, Dataset[[#This Row],[Age]]&lt;=18), "11-18",
    AND(Dataset[[#This Row],[Age]]&gt;18, Dataset[[#This Row],[Age]]&lt;=30), "19-30",
    AND(Dataset[[#This Row],[Age]]&gt;30, Dataset[[#This Row],[Age]]&lt;=60), "31-60",
    Dataset[[#This Row],[Age]]&gt;60, "above 60"
)</f>
        <v>31-60</v>
      </c>
      <c r="D989">
        <v>0</v>
      </c>
      <c r="E989">
        <v>0</v>
      </c>
      <c r="F989">
        <v>1</v>
      </c>
      <c r="G989"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89" s="1" t="s">
        <v>39</v>
      </c>
      <c r="I989" s="1" t="s">
        <v>15</v>
      </c>
      <c r="J989" s="1" t="s">
        <v>17</v>
      </c>
      <c r="K989">
        <v>0</v>
      </c>
    </row>
    <row r="990" spans="1:11" x14ac:dyDescent="0.3">
      <c r="A990" s="1" t="s">
        <v>13</v>
      </c>
      <c r="B990">
        <v>18</v>
      </c>
      <c r="C990" t="str" cm="1">
        <f t="array" ref="C990">_xlfn.IFS(
    Dataset[[#This Row],[Age]]&lt;=10, "0-10",
    AND(Dataset[[#This Row],[Age]]&gt;10, Dataset[[#This Row],[Age]]&lt;=18), "11-18",
    AND(Dataset[[#This Row],[Age]]&gt;18, Dataset[[#This Row],[Age]]&lt;=30), "19-30",
    AND(Dataset[[#This Row],[Age]]&gt;30, Dataset[[#This Row],[Age]]&lt;=60), "31-60",
    Dataset[[#This Row],[Age]]&gt;60, "above 60"
)</f>
        <v>11-18</v>
      </c>
      <c r="D990">
        <v>1</v>
      </c>
      <c r="E990">
        <v>1</v>
      </c>
      <c r="F990">
        <v>0</v>
      </c>
      <c r="G990"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90" s="1" t="s">
        <v>24</v>
      </c>
      <c r="I990" s="1" t="s">
        <v>11</v>
      </c>
      <c r="J990" s="1" t="s">
        <v>12</v>
      </c>
      <c r="K990">
        <v>1</v>
      </c>
    </row>
    <row r="991" spans="1:11" x14ac:dyDescent="0.3">
      <c r="A991" s="1" t="s">
        <v>9</v>
      </c>
      <c r="B991">
        <v>15</v>
      </c>
      <c r="C991" t="str" cm="1">
        <f t="array" ref="C991">_xlfn.IFS(
    Dataset[[#This Row],[Age]]&lt;=10, "0-10",
    AND(Dataset[[#This Row],[Age]]&gt;10, Dataset[[#This Row],[Age]]&lt;=18), "11-18",
    AND(Dataset[[#This Row],[Age]]&gt;18, Dataset[[#This Row],[Age]]&lt;=30), "19-30",
    AND(Dataset[[#This Row],[Age]]&gt;30, Dataset[[#This Row],[Age]]&lt;=60), "31-60",
    Dataset[[#This Row],[Age]]&gt;60, "above 60"
)</f>
        <v>11-18</v>
      </c>
      <c r="D991">
        <v>0</v>
      </c>
      <c r="E991">
        <v>0</v>
      </c>
      <c r="F991">
        <v>0</v>
      </c>
      <c r="G99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91" s="1" t="s">
        <v>48</v>
      </c>
      <c r="I991" s="1" t="s">
        <v>15</v>
      </c>
      <c r="J991" s="1" t="s">
        <v>17</v>
      </c>
      <c r="K991">
        <v>0</v>
      </c>
    </row>
    <row r="992" spans="1:11" x14ac:dyDescent="0.3">
      <c r="A992" s="1" t="s">
        <v>13</v>
      </c>
      <c r="B992">
        <v>44</v>
      </c>
      <c r="C992" t="str" cm="1">
        <f t="array" ref="C992">_xlfn.IFS(
    Dataset[[#This Row],[Age]]&lt;=10, "0-10",
    AND(Dataset[[#This Row],[Age]]&gt;10, Dataset[[#This Row],[Age]]&lt;=18), "11-18",
    AND(Dataset[[#This Row],[Age]]&gt;18, Dataset[[#This Row],[Age]]&lt;=30), "19-30",
    AND(Dataset[[#This Row],[Age]]&gt;30, Dataset[[#This Row],[Age]]&lt;=60), "31-60",
    Dataset[[#This Row],[Age]]&gt;60, "above 60"
)</f>
        <v>31-60</v>
      </c>
      <c r="D992">
        <v>0</v>
      </c>
      <c r="E992">
        <v>0</v>
      </c>
      <c r="F992">
        <v>1</v>
      </c>
      <c r="G992"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92" s="1" t="s">
        <v>37</v>
      </c>
      <c r="I992" s="1" t="s">
        <v>11</v>
      </c>
      <c r="J992" s="1" t="s">
        <v>17</v>
      </c>
      <c r="K992">
        <v>0</v>
      </c>
    </row>
    <row r="993" spans="1:11" x14ac:dyDescent="0.3">
      <c r="A993" s="1" t="s">
        <v>9</v>
      </c>
      <c r="B993">
        <v>16</v>
      </c>
      <c r="C993" t="str" cm="1">
        <f t="array" ref="C993">_xlfn.IFS(
    Dataset[[#This Row],[Age]]&lt;=10, "0-10",
    AND(Dataset[[#This Row],[Age]]&gt;10, Dataset[[#This Row],[Age]]&lt;=18), "11-18",
    AND(Dataset[[#This Row],[Age]]&gt;18, Dataset[[#This Row],[Age]]&lt;=30), "19-30",
    AND(Dataset[[#This Row],[Age]]&gt;30, Dataset[[#This Row],[Age]]&lt;=60), "31-60",
    Dataset[[#This Row],[Age]]&gt;60, "above 60"
)</f>
        <v>11-18</v>
      </c>
      <c r="D993">
        <v>1</v>
      </c>
      <c r="E993">
        <v>1</v>
      </c>
      <c r="F993">
        <v>0</v>
      </c>
      <c r="G993"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93" s="1" t="s">
        <v>21</v>
      </c>
      <c r="I993" s="1" t="s">
        <v>15</v>
      </c>
      <c r="J993" s="1" t="s">
        <v>12</v>
      </c>
      <c r="K993">
        <v>1</v>
      </c>
    </row>
    <row r="994" spans="1:11" x14ac:dyDescent="0.3">
      <c r="A994" s="1" t="s">
        <v>13</v>
      </c>
      <c r="B994">
        <v>41</v>
      </c>
      <c r="C994" t="str" cm="1">
        <f t="array" ref="C994">_xlfn.IFS(
    Dataset[[#This Row],[Age]]&lt;=10, "0-10",
    AND(Dataset[[#This Row],[Age]]&gt;10, Dataset[[#This Row],[Age]]&lt;=18), "11-18",
    AND(Dataset[[#This Row],[Age]]&gt;18, Dataset[[#This Row],[Age]]&lt;=30), "19-30",
    AND(Dataset[[#This Row],[Age]]&gt;30, Dataset[[#This Row],[Age]]&lt;=60), "31-60",
    Dataset[[#This Row],[Age]]&gt;60, "above 60"
)</f>
        <v>31-60</v>
      </c>
      <c r="D994">
        <v>1</v>
      </c>
      <c r="E994">
        <v>1</v>
      </c>
      <c r="F994">
        <v>0</v>
      </c>
      <c r="G994"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94" s="1" t="s">
        <v>16</v>
      </c>
      <c r="I994" s="1" t="s">
        <v>11</v>
      </c>
      <c r="J994" s="1" t="s">
        <v>17</v>
      </c>
      <c r="K994">
        <v>1</v>
      </c>
    </row>
    <row r="995" spans="1:11" x14ac:dyDescent="0.3">
      <c r="A995" s="1" t="s">
        <v>13</v>
      </c>
      <c r="B995">
        <v>45</v>
      </c>
      <c r="C995" t="str" cm="1">
        <f t="array" ref="C995">_xlfn.IFS(
    Dataset[[#This Row],[Age]]&lt;=10, "0-10",
    AND(Dataset[[#This Row],[Age]]&gt;10, Dataset[[#This Row],[Age]]&lt;=18), "11-18",
    AND(Dataset[[#This Row],[Age]]&gt;18, Dataset[[#This Row],[Age]]&lt;=30), "19-30",
    AND(Dataset[[#This Row],[Age]]&gt;30, Dataset[[#This Row],[Age]]&lt;=60), "31-60",
    Dataset[[#This Row],[Age]]&gt;60, "above 60"
)</f>
        <v>31-60</v>
      </c>
      <c r="D995">
        <v>0</v>
      </c>
      <c r="E995">
        <v>0</v>
      </c>
      <c r="F995">
        <v>1</v>
      </c>
      <c r="G995"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95" s="1" t="s">
        <v>18</v>
      </c>
      <c r="I995" s="1" t="s">
        <v>15</v>
      </c>
      <c r="J995" s="1" t="s">
        <v>12</v>
      </c>
      <c r="K995">
        <v>0</v>
      </c>
    </row>
    <row r="996" spans="1:11" x14ac:dyDescent="0.3">
      <c r="A996" s="1" t="s">
        <v>9</v>
      </c>
      <c r="B996">
        <v>19</v>
      </c>
      <c r="C996" t="str" cm="1">
        <f t="array" ref="C996">_xlfn.IFS(
    Dataset[[#This Row],[Age]]&lt;=10, "0-10",
    AND(Dataset[[#This Row],[Age]]&gt;10, Dataset[[#This Row],[Age]]&lt;=18), "11-18",
    AND(Dataset[[#This Row],[Age]]&gt;18, Dataset[[#This Row],[Age]]&lt;=30), "19-30",
    AND(Dataset[[#This Row],[Age]]&gt;30, Dataset[[#This Row],[Age]]&lt;=60), "31-60",
    Dataset[[#This Row],[Age]]&gt;60, "above 60"
)</f>
        <v>19-30</v>
      </c>
      <c r="D996">
        <v>1</v>
      </c>
      <c r="E996">
        <v>1</v>
      </c>
      <c r="F996">
        <v>1</v>
      </c>
      <c r="G996"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High Risk</v>
      </c>
      <c r="H996" s="1" t="s">
        <v>16</v>
      </c>
      <c r="I996" s="1" t="s">
        <v>11</v>
      </c>
      <c r="J996" s="1" t="s">
        <v>12</v>
      </c>
      <c r="K996">
        <v>1</v>
      </c>
    </row>
    <row r="997" spans="1:11" x14ac:dyDescent="0.3">
      <c r="A997" s="1" t="s">
        <v>9</v>
      </c>
      <c r="B997">
        <v>28</v>
      </c>
      <c r="C997" s="1" t="str" cm="1">
        <f t="array" ref="C997">_xlfn.IFS(
    Dataset[[#This Row],[Age]]&lt;=10, "0-10",
    AND(Dataset[[#This Row],[Age]]&gt;10, Dataset[[#This Row],[Age]]&lt;=18), "11-18",
    AND(Dataset[[#This Row],[Age]]&gt;18, Dataset[[#This Row],[Age]]&lt;=30), "19-30",
    AND(Dataset[[#This Row],[Age]]&gt;30, Dataset[[#This Row],[Age]]&lt;=60), "31-60",
    Dataset[[#This Row],[Age]]&gt;60, "above 60"
)</f>
        <v>19-30</v>
      </c>
      <c r="D997">
        <v>0</v>
      </c>
      <c r="E997">
        <v>0</v>
      </c>
      <c r="F997">
        <v>1</v>
      </c>
      <c r="G997" s="1" t="str">
        <f>IF(AND(Dataset[[#This Row],[NS1]]=1, OR(Dataset[[#This Row],[IgG]]=1, Dataset[[#This Row],[IgM]]=1)), "High Risk",IF(AND(Dataset[[#This Row],[NS1]]=0, Dataset[[#This Row],[IgG]]=1, Dataset[[#This Row],[IgM]]=0,Dataset[[#This Row],[Outcome]]=1), "Low Risk",IF(AND(Dataset[[#This Row],[NS1]]=0, Dataset[[#This Row],[IgG]]=1, Dataset[[#This Row],[IgM]]=1,Dataset[[#This Row],[Outcome]]=1),"No Risk","Dengue Negative")))</f>
        <v>Dengue Negative</v>
      </c>
      <c r="H997" s="1" t="s">
        <v>32</v>
      </c>
      <c r="I997" s="1" t="s">
        <v>15</v>
      </c>
      <c r="J997" s="1" t="s">
        <v>12</v>
      </c>
      <c r="K997">
        <v>0</v>
      </c>
    </row>
  </sheetData>
  <phoneticPr fontId="4"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Props1.xml><?xml version="1.0" encoding="utf-8"?>
<ds:datastoreItem xmlns:ds="http://schemas.openxmlformats.org/officeDocument/2006/customXml" ds:itemID="{A7F5988F-60BF-4977-BA65-9ECEEC905715}">
  <ds:schemaRefs/>
</ds:datastoreItem>
</file>

<file path=customXml/itemProps2.xml><?xml version="1.0" encoding="utf-8"?>
<ds:datastoreItem xmlns:ds="http://schemas.openxmlformats.org/officeDocument/2006/customXml" ds:itemID="{441C5ACD-2F34-4250-AC93-96C9D14FB944}">
  <ds:schemaRefs/>
</ds:datastoreItem>
</file>

<file path=customXml/itemProps3.xml><?xml version="1.0" encoding="utf-8"?>
<ds:datastoreItem xmlns:ds="http://schemas.openxmlformats.org/officeDocument/2006/customXml" ds:itemID="{A7C62185-B998-4153-81D1-321A86D0F028}">
  <ds:schemaRefs/>
</ds:datastoreItem>
</file>

<file path=customXml/itemProps4.xml><?xml version="1.0" encoding="utf-8"?>
<ds:datastoreItem xmlns:ds="http://schemas.openxmlformats.org/officeDocument/2006/customXml" ds:itemID="{AB91209E-8BE7-4831-943C-8D922B424D5B}">
  <ds:schemaRefs/>
</ds:datastoreItem>
</file>

<file path=customXml/itemProps5.xml><?xml version="1.0" encoding="utf-8"?>
<ds:datastoreItem xmlns:ds="http://schemas.openxmlformats.org/officeDocument/2006/customXml" ds:itemID="{579C282B-7217-4CD5-AED4-91E0A984174B}">
  <ds:schemaRefs/>
</ds:datastoreItem>
</file>

<file path=customXml/itemProps6.xml><?xml version="1.0" encoding="utf-8"?>
<ds:datastoreItem xmlns:ds="http://schemas.openxmlformats.org/officeDocument/2006/customXml" ds:itemID="{978F4A28-4FFD-4851-839C-4F2483DEB30E}">
  <ds:schemaRefs/>
</ds:datastoreItem>
</file>

<file path=customXml/itemProps7.xml><?xml version="1.0" encoding="utf-8"?>
<ds:datastoreItem xmlns:ds="http://schemas.openxmlformats.org/officeDocument/2006/customXml" ds:itemID="{B8555876-FFBB-4514-8BD6-57BA7B9E4834}">
  <ds:schemaRefs/>
</ds:datastoreItem>
</file>

<file path=customXml/itemProps8.xml><?xml version="1.0" encoding="utf-8"?>
<ds:datastoreItem xmlns:ds="http://schemas.openxmlformats.org/officeDocument/2006/customXml" ds:itemID="{D7B3A22D-1802-46A3-95AE-2F289DB2E724}">
  <ds:schemaRefs/>
</ds:datastoreItem>
</file>

<file path=customXml/itemProps9.xml><?xml version="1.0" encoding="utf-8"?>
<ds:datastoreItem xmlns:ds="http://schemas.openxmlformats.org/officeDocument/2006/customXml" ds:itemID="{63B263E3-E491-45FF-A51A-A36627A9DD9A}">
  <ds:schemaRefs/>
</ds:datastoreItem>
</file>

<file path=customXml/itemProps10.xml><?xml version="1.0" encoding="utf-8"?>
<ds:datastoreItem xmlns:ds="http://schemas.openxmlformats.org/officeDocument/2006/customXml" ds:itemID="{0CE38259-DF19-4C2D-9CF6-24D750DB3A93}">
  <ds:schemaRefs/>
</ds:datastoreItem>
</file>

<file path=customXml/itemProps11.xml><?xml version="1.0" encoding="utf-8"?>
<ds:datastoreItem xmlns:ds="http://schemas.openxmlformats.org/officeDocument/2006/customXml" ds:itemID="{3E990E84-6025-4172-A93B-879DE59A2EC7}">
  <ds:schemaRefs/>
</ds:datastoreItem>
</file>

<file path=customXml/itemProps12.xml><?xml version="1.0" encoding="utf-8"?>
<ds:datastoreItem xmlns:ds="http://schemas.openxmlformats.org/officeDocument/2006/customXml" ds:itemID="{1E73ADF5-F067-4763-8C23-6058106052D2}">
  <ds:schemaRefs/>
</ds:datastoreItem>
</file>

<file path=customXml/itemProps13.xml><?xml version="1.0" encoding="utf-8"?>
<ds:datastoreItem xmlns:ds="http://schemas.openxmlformats.org/officeDocument/2006/customXml" ds:itemID="{E160CC40-B820-426E-BC7A-4C81638BF9FE}">
  <ds:schemaRefs/>
</ds:datastoreItem>
</file>

<file path=customXml/itemProps14.xml><?xml version="1.0" encoding="utf-8"?>
<ds:datastoreItem xmlns:ds="http://schemas.openxmlformats.org/officeDocument/2006/customXml" ds:itemID="{B11391BD-2CCC-43F0-BA13-C155B5A73DD2}">
  <ds:schemaRefs/>
</ds:datastoreItem>
</file>

<file path=customXml/itemProps15.xml><?xml version="1.0" encoding="utf-8"?>
<ds:datastoreItem xmlns:ds="http://schemas.openxmlformats.org/officeDocument/2006/customXml" ds:itemID="{C83FDC57-734F-4BBD-AE3E-A702066BD8BE}">
  <ds:schemaRefs/>
</ds:datastoreItem>
</file>

<file path=customXml/itemProps16.xml><?xml version="1.0" encoding="utf-8"?>
<ds:datastoreItem xmlns:ds="http://schemas.openxmlformats.org/officeDocument/2006/customXml" ds:itemID="{1505651D-F8B0-4262-80FE-898FD29E861E}">
  <ds:schemaRefs/>
</ds:datastoreItem>
</file>

<file path=customXml/itemProps17.xml><?xml version="1.0" encoding="utf-8"?>
<ds:datastoreItem xmlns:ds="http://schemas.openxmlformats.org/officeDocument/2006/customXml" ds:itemID="{6E8CD285-584B-474D-B497-E5F88FB8E37B}">
  <ds:schemaRefs>
    <ds:schemaRef ds:uri="http://schemas.microsoft.com/DataMashup"/>
  </ds:schemaRefs>
</ds:datastoreItem>
</file>

<file path=customXml/itemProps18.xml><?xml version="1.0" encoding="utf-8"?>
<ds:datastoreItem xmlns:ds="http://schemas.openxmlformats.org/officeDocument/2006/customXml" ds:itemID="{B5FCA215-6491-4F2C-B599-3E8D5DD4B301}">
  <ds:schemaRefs/>
</ds:datastoreItem>
</file>

<file path=customXml/itemProps19.xml><?xml version="1.0" encoding="utf-8"?>
<ds:datastoreItem xmlns:ds="http://schemas.openxmlformats.org/officeDocument/2006/customXml" ds:itemID="{B91CD1B8-3802-4B0A-9F9C-ADDCC71AC045}">
  <ds:schemaRefs/>
</ds:datastoreItem>
</file>

<file path=customXml/itemProps20.xml><?xml version="1.0" encoding="utf-8"?>
<ds:datastoreItem xmlns:ds="http://schemas.openxmlformats.org/officeDocument/2006/customXml" ds:itemID="{EB8362F4-09B6-4A15-AEFF-25763B9420C9}">
  <ds:schemaRefs/>
</ds:datastoreItem>
</file>

<file path=customXml/itemProps21.xml><?xml version="1.0" encoding="utf-8"?>
<ds:datastoreItem xmlns:ds="http://schemas.openxmlformats.org/officeDocument/2006/customXml" ds:itemID="{08CF2D40-39AD-4C2E-9397-B2570EA640D0}">
  <ds:schemaRefs/>
</ds:datastoreItem>
</file>

<file path=customXml/itemProps22.xml><?xml version="1.0" encoding="utf-8"?>
<ds:datastoreItem xmlns:ds="http://schemas.openxmlformats.org/officeDocument/2006/customXml" ds:itemID="{F9C1A10F-6EA8-457F-AD2B-780D62FC5925}">
  <ds:schemaRefs/>
</ds:datastoreItem>
</file>

<file path=customXml/itemProps23.xml><?xml version="1.0" encoding="utf-8"?>
<ds:datastoreItem xmlns:ds="http://schemas.openxmlformats.org/officeDocument/2006/customXml" ds:itemID="{D9ED45EE-C365-4DF8-992B-86160FD1FE22}">
  <ds:schemaRefs/>
</ds:datastoreItem>
</file>

<file path=customXml/itemProps24.xml><?xml version="1.0" encoding="utf-8"?>
<ds:datastoreItem xmlns:ds="http://schemas.openxmlformats.org/officeDocument/2006/customXml" ds:itemID="{2C7C7E6F-35CD-48A7-AA6E-1B74D2C831BB}">
  <ds:schemaRefs/>
</ds:datastoreItem>
</file>

<file path=customXml/itemProps25.xml><?xml version="1.0" encoding="utf-8"?>
<ds:datastoreItem xmlns:ds="http://schemas.openxmlformats.org/officeDocument/2006/customXml" ds:itemID="{D396934B-2C30-4925-A366-767CFC7EF7B7}">
  <ds:schemaRefs/>
</ds:datastoreItem>
</file>

<file path=customXml/itemProps26.xml><?xml version="1.0" encoding="utf-8"?>
<ds:datastoreItem xmlns:ds="http://schemas.openxmlformats.org/officeDocument/2006/customXml" ds:itemID="{C4116AC0-4D11-41FF-AFA7-B183B46CD6DD}">
  <ds:schemaRefs/>
</ds:datastoreItem>
</file>

<file path=customXml/itemProps27.xml><?xml version="1.0" encoding="utf-8"?>
<ds:datastoreItem xmlns:ds="http://schemas.openxmlformats.org/officeDocument/2006/customXml" ds:itemID="{706D54A3-153A-4222-AD87-34ECA1794DAD}">
  <ds:schemaRefs/>
</ds:datastoreItem>
</file>

<file path=customXml/itemProps28.xml><?xml version="1.0" encoding="utf-8"?>
<ds:datastoreItem xmlns:ds="http://schemas.openxmlformats.org/officeDocument/2006/customXml" ds:itemID="{29EDD7F5-662A-448E-968E-0797AA8FF56D}">
  <ds:schemaRefs/>
</ds:datastoreItem>
</file>

<file path=customXml/itemProps29.xml><?xml version="1.0" encoding="utf-8"?>
<ds:datastoreItem xmlns:ds="http://schemas.openxmlformats.org/officeDocument/2006/customXml" ds:itemID="{191BA017-545D-414E-9BC7-0E43EFF87A16}">
  <ds:schemaRefs/>
</ds:datastoreItem>
</file>

<file path=customXml/itemProps30.xml><?xml version="1.0" encoding="utf-8"?>
<ds:datastoreItem xmlns:ds="http://schemas.openxmlformats.org/officeDocument/2006/customXml" ds:itemID="{3CAF6B41-11E0-4D4F-8A93-D385057C0E96}">
  <ds:schemaRefs/>
</ds:datastoreItem>
</file>

<file path=customXml/itemProps31.xml><?xml version="1.0" encoding="utf-8"?>
<ds:datastoreItem xmlns:ds="http://schemas.openxmlformats.org/officeDocument/2006/customXml" ds:itemID="{FA718DCD-69D5-4AA8-8224-6ECEC628AC5E}">
  <ds:schemaRefs/>
</ds:datastoreItem>
</file>

<file path=customXml/itemProps32.xml><?xml version="1.0" encoding="utf-8"?>
<ds:datastoreItem xmlns:ds="http://schemas.openxmlformats.org/officeDocument/2006/customXml" ds:itemID="{9D3A26F4-F0FD-4DA5-B34D-4A1B2532084A}">
  <ds:schemaRefs/>
</ds:datastoreItem>
</file>

<file path=customXml/itemProps33.xml><?xml version="1.0" encoding="utf-8"?>
<ds:datastoreItem xmlns:ds="http://schemas.openxmlformats.org/officeDocument/2006/customXml" ds:itemID="{9321D428-70AB-4B24-B688-F95B077BFC25}">
  <ds:schemaRefs/>
</ds:datastoreItem>
</file>

<file path=customXml/itemProps34.xml><?xml version="1.0" encoding="utf-8"?>
<ds:datastoreItem xmlns:ds="http://schemas.openxmlformats.org/officeDocument/2006/customXml" ds:itemID="{FFFF96FE-09BA-417A-923C-85646A4172A0}">
  <ds:schemaRefs/>
</ds:datastoreItem>
</file>

<file path=customXml/itemProps35.xml><?xml version="1.0" encoding="utf-8"?>
<ds:datastoreItem xmlns:ds="http://schemas.openxmlformats.org/officeDocument/2006/customXml" ds:itemID="{1C767538-D565-4D6E-8F97-400364C872E9}">
  <ds:schemaRefs/>
</ds:datastoreItem>
</file>

<file path=customXml/itemProps36.xml><?xml version="1.0" encoding="utf-8"?>
<ds:datastoreItem xmlns:ds="http://schemas.openxmlformats.org/officeDocument/2006/customXml" ds:itemID="{90151F6B-855B-4FDF-9B1B-D0FB82BAB186}">
  <ds:schemaRefs/>
</ds:datastoreItem>
</file>

<file path=customXml/itemProps37.xml><?xml version="1.0" encoding="utf-8"?>
<ds:datastoreItem xmlns:ds="http://schemas.openxmlformats.org/officeDocument/2006/customXml" ds:itemID="{698FB3C7-A7A9-43D3-ADAD-DB1517E879D4}">
  <ds:schemaRefs/>
</ds:datastoreItem>
</file>

<file path=customXml/itemProps38.xml><?xml version="1.0" encoding="utf-8"?>
<ds:datastoreItem xmlns:ds="http://schemas.openxmlformats.org/officeDocument/2006/customXml" ds:itemID="{CBC65BF7-20CA-4E46-8B75-73B9B4A8D616}">
  <ds:schemaRefs/>
</ds:datastoreItem>
</file>

<file path=customXml/itemProps39.xml><?xml version="1.0" encoding="utf-8"?>
<ds:datastoreItem xmlns:ds="http://schemas.openxmlformats.org/officeDocument/2006/customXml" ds:itemID="{F84A3495-9954-4F32-96E8-329146BF6622}">
  <ds:schemaRefs/>
</ds:datastoreItem>
</file>

<file path=customXml/itemProps40.xml><?xml version="1.0" encoding="utf-8"?>
<ds:datastoreItem xmlns:ds="http://schemas.openxmlformats.org/officeDocument/2006/customXml" ds:itemID="{D523CCED-D992-47B8-A81A-5F5B72851BD4}">
  <ds:schemaRefs/>
</ds:datastoreItem>
</file>

<file path=customXml/itemProps41.xml><?xml version="1.0" encoding="utf-8"?>
<ds:datastoreItem xmlns:ds="http://schemas.openxmlformats.org/officeDocument/2006/customXml" ds:itemID="{EC67322A-DA96-46C2-8C2D-C3B3BE2049FF}">
  <ds:schemaRefs/>
</ds:datastoreItem>
</file>

<file path=customXml/itemProps42.xml><?xml version="1.0" encoding="utf-8"?>
<ds:datastoreItem xmlns:ds="http://schemas.openxmlformats.org/officeDocument/2006/customXml" ds:itemID="{9E1BF5E7-26BA-4DB5-B75A-AE86AF2FA002}">
  <ds:schemaRefs/>
</ds:datastoreItem>
</file>

<file path=customXml/itemProps43.xml><?xml version="1.0" encoding="utf-8"?>
<ds:datastoreItem xmlns:ds="http://schemas.openxmlformats.org/officeDocument/2006/customXml" ds:itemID="{4A51300E-C558-46E0-9EF2-3DBE93970303}">
  <ds:schemaRefs/>
</ds:datastoreItem>
</file>

<file path=customXml/itemProps44.xml><?xml version="1.0" encoding="utf-8"?>
<ds:datastoreItem xmlns:ds="http://schemas.openxmlformats.org/officeDocument/2006/customXml" ds:itemID="{1D9767FD-EB7F-4519-8B42-A6358444A61A}">
  <ds:schemaRefs/>
</ds:datastoreItem>
</file>

<file path=customXml/itemProps45.xml><?xml version="1.0" encoding="utf-8"?>
<ds:datastoreItem xmlns:ds="http://schemas.openxmlformats.org/officeDocument/2006/customXml" ds:itemID="{1C7069B4-0A59-405B-B713-3801894BE366}">
  <ds:schemaRefs/>
</ds:datastoreItem>
</file>

<file path=customXml/itemProps46.xml><?xml version="1.0" encoding="utf-8"?>
<ds:datastoreItem xmlns:ds="http://schemas.openxmlformats.org/officeDocument/2006/customXml" ds:itemID="{ECAB3C75-E0B8-4467-B63D-7621B4FD3744}">
  <ds:schemaRefs/>
</ds:datastoreItem>
</file>

<file path=customXml/itemProps47.xml><?xml version="1.0" encoding="utf-8"?>
<ds:datastoreItem xmlns:ds="http://schemas.openxmlformats.org/officeDocument/2006/customXml" ds:itemID="{5205512B-9A1F-4B74-BF7D-4CE88CED3238}">
  <ds:schemaRefs/>
</ds:datastoreItem>
</file>

<file path=customXml/itemProps48.xml><?xml version="1.0" encoding="utf-8"?>
<ds:datastoreItem xmlns:ds="http://schemas.openxmlformats.org/officeDocument/2006/customXml" ds:itemID="{F0A9CBA8-0B62-4558-8D2A-D9AEDB3AAAFE}">
  <ds:schemaRefs/>
</ds:datastoreItem>
</file>

<file path=customXml/itemProps49.xml><?xml version="1.0" encoding="utf-8"?>
<ds:datastoreItem xmlns:ds="http://schemas.openxmlformats.org/officeDocument/2006/customXml" ds:itemID="{CBDD04AB-81B6-4FB6-A26C-741669C142A8}">
  <ds:schemaRefs/>
</ds:datastoreItem>
</file>

<file path=customXml/itemProps50.xml><?xml version="1.0" encoding="utf-8"?>
<ds:datastoreItem xmlns:ds="http://schemas.openxmlformats.org/officeDocument/2006/customXml" ds:itemID="{FF437AF4-7670-4A07-9B9E-8E1A7F17B3C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Home</vt:lpstr>
      <vt:lpstr>Descriptive Analysis</vt:lpstr>
      <vt:lpstr>Tables and Graph&amp;Charts</vt:lpstr>
      <vt:lpstr>Dataset</vt:lpstr>
      <vt:lpstr>DengueCount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Mehedi Hasan</dc:creator>
  <cp:lastModifiedBy>Mehedi Hasan</cp:lastModifiedBy>
  <dcterms:created xsi:type="dcterms:W3CDTF">2025-01-26T16:17:12Z</dcterms:created>
  <dcterms:modified xsi:type="dcterms:W3CDTF">2025-02-11T20:49:35Z</dcterms:modified>
</cp:coreProperties>
</file>